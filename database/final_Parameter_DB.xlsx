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DS\260108AWESIM\database\"/>
    </mc:Choice>
  </mc:AlternateContent>
  <xr:revisionPtr revIDLastSave="0" documentId="13_ncr:1_{9C19166F-2D08-4CE1-9698-9A7A2EAE1B65}" xr6:coauthVersionLast="47" xr6:coauthVersionMax="47" xr10:uidLastSave="{00000000-0000-0000-0000-000000000000}"/>
  <bookViews>
    <workbookView xWindow="-108" yWindow="-108" windowWidth="23256" windowHeight="12456" activeTab="3" xr2:uid="{BEE4AA1A-EC1A-4B22-8C55-E820B35A4F41}"/>
  </bookViews>
  <sheets>
    <sheet name="Wall_Assembly" sheetId="10" r:id="rId1"/>
    <sheet name="Wall_Layers_Thickness" sheetId="12" r:id="rId2"/>
    <sheet name="WallR" sheetId="15" r:id="rId3"/>
    <sheet name="Roof_Assembly" sheetId="11" r:id="rId4"/>
    <sheet name="Roof_Layers_Thickness" sheetId="13" r:id="rId5"/>
    <sheet name="RoofR" sheetId="16" r:id="rId6"/>
    <sheet name="GlazingSC" sheetId="3" r:id="rId7"/>
    <sheet name="GlazingR" sheetId="8" r:id="rId8"/>
    <sheet name="WWR" sheetId="4" r:id="rId9"/>
    <sheet name="Orientation" sheetId="5" r:id="rId10"/>
    <sheet name="Lighting" sheetId="6" r:id="rId11"/>
    <sheet name="Equipment" sheetId="7" r:id="rId12"/>
    <sheet name="Typology" sheetId="14" r:id="rId13"/>
  </sheets>
  <definedNames>
    <definedName name="_xlnm._FilterDatabase" localSheetId="3" hidden="1">Roof_Assembly!$A$1:$H$65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13" l="1"/>
  <c r="Q23" i="13"/>
  <c r="P23" i="13"/>
  <c r="O23" i="13"/>
  <c r="N23" i="13"/>
  <c r="R23" i="13" s="1"/>
  <c r="M23" i="13"/>
  <c r="L23" i="13"/>
  <c r="K23" i="13"/>
  <c r="J23" i="13"/>
  <c r="I23" i="13"/>
  <c r="H23" i="13"/>
  <c r="G23" i="13"/>
  <c r="F23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S20" i="13"/>
  <c r="Q20" i="13"/>
  <c r="P20" i="13"/>
  <c r="O20" i="13"/>
  <c r="N20" i="13"/>
  <c r="R20" i="13" s="1"/>
  <c r="M20" i="13"/>
  <c r="L20" i="13"/>
  <c r="K20" i="13"/>
  <c r="J20" i="13"/>
  <c r="I20" i="13"/>
  <c r="H20" i="13"/>
  <c r="G20" i="13"/>
  <c r="F20" i="13"/>
  <c r="S19" i="13"/>
  <c r="Q19" i="13"/>
  <c r="P19" i="13"/>
  <c r="O19" i="13"/>
  <c r="N19" i="13"/>
  <c r="R19" i="13" s="1"/>
  <c r="M19" i="13"/>
  <c r="L19" i="13"/>
  <c r="K19" i="13"/>
  <c r="J19" i="13"/>
  <c r="I19" i="13"/>
  <c r="H19" i="13"/>
  <c r="G19" i="13"/>
  <c r="F19" i="13"/>
  <c r="S18" i="13"/>
  <c r="Q18" i="13"/>
  <c r="P18" i="13"/>
  <c r="O18" i="13"/>
  <c r="N18" i="13"/>
  <c r="R18" i="13" s="1"/>
  <c r="M18" i="13"/>
  <c r="L18" i="13"/>
  <c r="K18" i="13"/>
  <c r="J18" i="13"/>
  <c r="I18" i="13"/>
  <c r="H18" i="13"/>
  <c r="G18" i="13"/>
  <c r="F18" i="13"/>
  <c r="S17" i="13"/>
  <c r="Q17" i="13"/>
  <c r="P17" i="13"/>
  <c r="O17" i="13"/>
  <c r="N17" i="13"/>
  <c r="R17" i="13" s="1"/>
  <c r="M17" i="13"/>
  <c r="L17" i="13"/>
  <c r="K17" i="13"/>
  <c r="J17" i="13"/>
  <c r="I17" i="13"/>
  <c r="H17" i="13"/>
  <c r="G17" i="13"/>
  <c r="F17" i="13"/>
  <c r="S16" i="13"/>
  <c r="Q16" i="13"/>
  <c r="P16" i="13"/>
  <c r="O16" i="13"/>
  <c r="N16" i="13"/>
  <c r="R16" i="13" s="1"/>
  <c r="M16" i="13"/>
  <c r="L16" i="13"/>
  <c r="K16" i="13"/>
  <c r="J16" i="13"/>
  <c r="I16" i="13"/>
  <c r="H16" i="13"/>
  <c r="G16" i="13"/>
  <c r="F16" i="13"/>
  <c r="S15" i="13"/>
  <c r="Q15" i="13"/>
  <c r="P15" i="13"/>
  <c r="O15" i="13"/>
  <c r="N15" i="13"/>
  <c r="R15" i="13" s="1"/>
  <c r="M15" i="13"/>
  <c r="L15" i="13"/>
  <c r="K15" i="13"/>
  <c r="J15" i="13"/>
  <c r="I15" i="13"/>
  <c r="H15" i="13"/>
  <c r="G15" i="13"/>
  <c r="F15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5" i="12"/>
  <c r="C4" i="3" l="1"/>
  <c r="C5" i="3"/>
  <c r="C6" i="3"/>
  <c r="C7" i="3"/>
  <c r="C8" i="3"/>
  <c r="C9" i="3"/>
  <c r="C10" i="3"/>
  <c r="C3" i="3"/>
  <c r="B4" i="16" l="1"/>
  <c r="B5" i="16" s="1"/>
  <c r="B6" i="16" s="1"/>
  <c r="B7" i="16" s="1"/>
  <c r="B8" i="16" s="1"/>
  <c r="B9" i="16" s="1"/>
  <c r="B10" i="16" s="1"/>
  <c r="B11" i="16" s="1"/>
  <c r="B12" i="16" s="1"/>
  <c r="B13" i="16" s="1"/>
  <c r="B5" i="15"/>
  <c r="B6" i="15"/>
  <c r="B7" i="15"/>
  <c r="B8" i="15"/>
  <c r="B9" i="15"/>
  <c r="B10" i="15" s="1"/>
  <c r="B11" i="15" s="1"/>
  <c r="B12" i="15" s="1"/>
  <c r="B13" i="15" s="1"/>
  <c r="B4" i="15"/>
  <c r="A4" i="14"/>
  <c r="A5" i="14"/>
  <c r="A6" i="14"/>
  <c r="A7" i="14"/>
  <c r="A8" i="14"/>
  <c r="A3" i="14"/>
  <c r="A4" i="4"/>
  <c r="A5" i="4"/>
  <c r="A6" i="4"/>
  <c r="A7" i="4"/>
  <c r="A8" i="4"/>
  <c r="A9" i="4"/>
  <c r="A3" i="4"/>
  <c r="Q12" i="13"/>
  <c r="Q11" i="13"/>
  <c r="Q10" i="13"/>
  <c r="Q9" i="13"/>
  <c r="Q8" i="13"/>
  <c r="Q7" i="13"/>
  <c r="Q6" i="13"/>
  <c r="Q5" i="13"/>
  <c r="Q4" i="13"/>
  <c r="Q3" i="13"/>
  <c r="Q2" i="13"/>
  <c r="P12" i="13"/>
  <c r="P11" i="13"/>
  <c r="P10" i="13"/>
  <c r="P9" i="13"/>
  <c r="P8" i="13"/>
  <c r="P7" i="13"/>
  <c r="P6" i="13"/>
  <c r="P5" i="13"/>
  <c r="P4" i="13"/>
  <c r="P3" i="13"/>
  <c r="P2" i="13"/>
  <c r="S2" i="13"/>
  <c r="S3" i="13"/>
  <c r="S4" i="13"/>
  <c r="S5" i="13"/>
  <c r="S6" i="13"/>
  <c r="S7" i="13"/>
  <c r="S8" i="13"/>
  <c r="S9" i="13"/>
  <c r="S10" i="13"/>
  <c r="S11" i="13"/>
  <c r="S12" i="13"/>
  <c r="O12" i="13"/>
  <c r="O11" i="13"/>
  <c r="O10" i="13"/>
  <c r="O9" i="13"/>
  <c r="O8" i="13"/>
  <c r="O7" i="13"/>
  <c r="O6" i="13"/>
  <c r="O5" i="13"/>
  <c r="O4" i="13"/>
  <c r="O3" i="13"/>
  <c r="O2" i="13"/>
  <c r="J12" i="13"/>
  <c r="J11" i="13"/>
  <c r="J10" i="13"/>
  <c r="J9" i="13"/>
  <c r="J8" i="13"/>
  <c r="J7" i="13"/>
  <c r="J6" i="13"/>
  <c r="J5" i="13"/>
  <c r="J4" i="13"/>
  <c r="J3" i="13"/>
  <c r="J2" i="13"/>
  <c r="M12" i="13"/>
  <c r="M11" i="13"/>
  <c r="M10" i="13"/>
  <c r="M9" i="13"/>
  <c r="M8" i="13"/>
  <c r="M7" i="13"/>
  <c r="M6" i="13"/>
  <c r="M5" i="13"/>
  <c r="M4" i="13"/>
  <c r="M3" i="13"/>
  <c r="M2" i="13"/>
  <c r="L12" i="13"/>
  <c r="L11" i="13"/>
  <c r="L10" i="13"/>
  <c r="L9" i="13"/>
  <c r="L8" i="13"/>
  <c r="L7" i="13"/>
  <c r="L6" i="13"/>
  <c r="L5" i="13"/>
  <c r="L4" i="13"/>
  <c r="L3" i="13"/>
  <c r="L2" i="13"/>
  <c r="I12" i="13"/>
  <c r="I11" i="13"/>
  <c r="I10" i="13"/>
  <c r="I9" i="13"/>
  <c r="I8" i="13"/>
  <c r="I7" i="13"/>
  <c r="I6" i="13"/>
  <c r="I5" i="13"/>
  <c r="I4" i="13"/>
  <c r="I3" i="13"/>
  <c r="I2" i="13"/>
  <c r="H12" i="13"/>
  <c r="H11" i="13"/>
  <c r="H10" i="13"/>
  <c r="H9" i="13"/>
  <c r="H8" i="13"/>
  <c r="H7" i="13"/>
  <c r="H6" i="13"/>
  <c r="H5" i="13"/>
  <c r="H4" i="13"/>
  <c r="H3" i="13"/>
  <c r="H2" i="13"/>
  <c r="G12" i="13"/>
  <c r="G11" i="13"/>
  <c r="G10" i="13"/>
  <c r="G9" i="13"/>
  <c r="G8" i="13"/>
  <c r="G7" i="13"/>
  <c r="G6" i="13"/>
  <c r="G5" i="13"/>
  <c r="G4" i="13"/>
  <c r="G3" i="13"/>
  <c r="G2" i="13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N12" i="13" l="1"/>
  <c r="R12" i="13" s="1"/>
  <c r="K12" i="13"/>
  <c r="F12" i="13"/>
  <c r="N11" i="13"/>
  <c r="K11" i="13"/>
  <c r="F11" i="13"/>
  <c r="N10" i="13"/>
  <c r="K10" i="13"/>
  <c r="F10" i="13"/>
  <c r="N9" i="13"/>
  <c r="K9" i="13"/>
  <c r="F9" i="13"/>
  <c r="N8" i="13"/>
  <c r="K8" i="13"/>
  <c r="F8" i="13"/>
  <c r="N7" i="13"/>
  <c r="K7" i="13"/>
  <c r="F7" i="13"/>
  <c r="N6" i="13"/>
  <c r="K6" i="13"/>
  <c r="F6" i="13"/>
  <c r="N5" i="13"/>
  <c r="R5" i="13" s="1"/>
  <c r="K5" i="13"/>
  <c r="F5" i="13"/>
  <c r="N4" i="13"/>
  <c r="K4" i="13"/>
  <c r="F4" i="13"/>
  <c r="N3" i="13"/>
  <c r="K3" i="13"/>
  <c r="F3" i="13"/>
  <c r="N2" i="13"/>
  <c r="K2" i="13"/>
  <c r="F2" i="13"/>
  <c r="I14" i="12"/>
  <c r="E14" i="12"/>
  <c r="I13" i="12"/>
  <c r="E13" i="12"/>
  <c r="I12" i="12"/>
  <c r="E12" i="12"/>
  <c r="I11" i="12"/>
  <c r="E11" i="12"/>
  <c r="I10" i="12"/>
  <c r="E10" i="12"/>
  <c r="I9" i="12"/>
  <c r="E9" i="12"/>
  <c r="I8" i="12"/>
  <c r="E8" i="12"/>
  <c r="I7" i="12"/>
  <c r="E7" i="12"/>
  <c r="I6" i="12"/>
  <c r="E6" i="12"/>
  <c r="I5" i="12"/>
  <c r="E5" i="12"/>
  <c r="I4" i="12"/>
  <c r="E4" i="12"/>
  <c r="I3" i="12"/>
  <c r="E3" i="12"/>
  <c r="I2" i="12"/>
  <c r="E2" i="12"/>
  <c r="R8" i="13" l="1"/>
  <c r="R7" i="13"/>
  <c r="R9" i="13"/>
  <c r="R3" i="13"/>
  <c r="R11" i="13"/>
  <c r="R4" i="13"/>
  <c r="R2" i="13"/>
  <c r="R6" i="13"/>
  <c r="R10" i="13"/>
  <c r="B4" i="5"/>
  <c r="B5" i="5" s="1"/>
  <c r="B6" i="5" s="1"/>
  <c r="B7" i="5" s="1"/>
  <c r="B8" i="5" s="1"/>
  <c r="B9" i="5" s="1"/>
  <c r="C11" i="8"/>
  <c r="C10" i="8"/>
  <c r="C9" i="8"/>
  <c r="C8" i="8"/>
  <c r="C7" i="8"/>
  <c r="C6" i="8"/>
  <c r="C5" i="8"/>
  <c r="C4" i="8"/>
  <c r="C3" i="8"/>
</calcChain>
</file>

<file path=xl/sharedStrings.xml><?xml version="1.0" encoding="utf-8"?>
<sst xmlns="http://schemas.openxmlformats.org/spreadsheetml/2006/main" count="721" uniqueCount="97">
  <si>
    <t>U-Value</t>
  </si>
  <si>
    <t>R-Value</t>
  </si>
  <si>
    <t>SHGC</t>
  </si>
  <si>
    <t>SC</t>
  </si>
  <si>
    <t>ID</t>
  </si>
  <si>
    <t>WWR_Percentage</t>
  </si>
  <si>
    <t>Rotate</t>
  </si>
  <si>
    <t>Light</t>
  </si>
  <si>
    <t>Equip</t>
  </si>
  <si>
    <t>XPS</t>
  </si>
  <si>
    <t>Name</t>
  </si>
  <si>
    <t>Solid_Burnt_Brick-230[ENS]</t>
  </si>
  <si>
    <t>Solid_Burnt_Brick-230_XPS-5[ENS]</t>
  </si>
  <si>
    <t>Solid_Burnt_Brick-230_XPS-10[ENS]</t>
  </si>
  <si>
    <t>Solid_Burnt_Brick-230_EPS-25[ENS]</t>
  </si>
  <si>
    <t>Solid_Burnt_Brick-230_EPS-50[ENS]</t>
  </si>
  <si>
    <t>AAC_Block_Wall-200[ENS]</t>
  </si>
  <si>
    <t>AAC_Block_Wall-200_EPS-25[ENS]</t>
  </si>
  <si>
    <t>AAC_Block_Wall-200_EPS-50[ENS]</t>
  </si>
  <si>
    <t>AAC_Block_Wall-200_PUF-50[ENS]</t>
  </si>
  <si>
    <t>Fly_Ash_Brick-230_PUF-25[ENS]</t>
  </si>
  <si>
    <t>Fly_Ash_Brick-230_PUF-50[ENS]</t>
  </si>
  <si>
    <t>Solid_Concrete_Block-200[ENS]</t>
  </si>
  <si>
    <t>Solid_Concrete_Block-200_XPS-5[ENS]</t>
  </si>
  <si>
    <t>Solid_Concrete_Block-200_EPS-15[ENS]</t>
  </si>
  <si>
    <t>Solid_Concrete_Block-200_EPS-20[ENS]</t>
  </si>
  <si>
    <t>Solid_Concrete_Block-200_XPS-25[ENS]</t>
  </si>
  <si>
    <t>Solid_Concrete_Block-200_XPS-50[ENS]</t>
  </si>
  <si>
    <t>Solid_Concrete_Block-200_EPS-25[ENS]</t>
  </si>
  <si>
    <t>Solid_Concrete_Block-200_EPS-50[ENS]</t>
  </si>
  <si>
    <t>Reinforce_Concrete_200[ENS]</t>
  </si>
  <si>
    <t>Layers</t>
  </si>
  <si>
    <t>Material</t>
  </si>
  <si>
    <t>Thickness(ft)</t>
  </si>
  <si>
    <t>Conductivity</t>
  </si>
  <si>
    <t>Density</t>
  </si>
  <si>
    <t>SpecificHeat</t>
  </si>
  <si>
    <t>Layer_R_Value</t>
  </si>
  <si>
    <t>L1</t>
  </si>
  <si>
    <t>CP</t>
  </si>
  <si>
    <t>L2</t>
  </si>
  <si>
    <t>SBB</t>
  </si>
  <si>
    <t>L3</t>
  </si>
  <si>
    <t>L4</t>
  </si>
  <si>
    <t>EPS</t>
  </si>
  <si>
    <t>AAC</t>
  </si>
  <si>
    <t>PUF</t>
  </si>
  <si>
    <t>FAB</t>
  </si>
  <si>
    <t>SCB</t>
  </si>
  <si>
    <t>RCC</t>
  </si>
  <si>
    <t>Reinforce_Concrete_200_PUF25[ENS]</t>
  </si>
  <si>
    <t>L5</t>
  </si>
  <si>
    <t>Reinforce_Concrete_200_PUF75[ENS]</t>
  </si>
  <si>
    <t>Reinforce_Concrete_200_PUF100[ENS]</t>
  </si>
  <si>
    <t>Reinforce_Concrete_200_EPS5[ENS]</t>
  </si>
  <si>
    <t>Reinforce_Concrete_200_EPS10[ENS]</t>
  </si>
  <si>
    <t>Reinforce_Concrete_200_EPS15[ENS]</t>
  </si>
  <si>
    <t>Reinforce_Concrete_200_EPS20[ENS]</t>
  </si>
  <si>
    <t>Reinforce_Concrete_200_EPS25[ENS]</t>
  </si>
  <si>
    <t>Reinforce_Concrete_200_EPS50[ENS]</t>
  </si>
  <si>
    <t>Reinforce_Concrete_200_EPS75[ENS]</t>
  </si>
  <si>
    <t>Reinforce_Concrete_200_EPS100[ENS]</t>
  </si>
  <si>
    <t>Mat_1</t>
  </si>
  <si>
    <t>Mat_2</t>
  </si>
  <si>
    <t>Mat_3</t>
  </si>
  <si>
    <t>Mat_4</t>
  </si>
  <si>
    <t>Mat_1_thickness</t>
  </si>
  <si>
    <t>Mat_2_thickness</t>
  </si>
  <si>
    <t>Mat_3_thickness</t>
  </si>
  <si>
    <t>Mat_4_thickness</t>
  </si>
  <si>
    <t>Mat_1_conductivity</t>
  </si>
  <si>
    <t>Mat_2_conductivity</t>
  </si>
  <si>
    <t>Mat_3_conductivity</t>
  </si>
  <si>
    <t>Mat_4_conductivity</t>
  </si>
  <si>
    <t>Mat_1_Density</t>
  </si>
  <si>
    <t>Mat_2_Density</t>
  </si>
  <si>
    <t>Mat_3_Density</t>
  </si>
  <si>
    <t>Mat_4_Density</t>
  </si>
  <si>
    <t>Mat_1_Sp_Heat</t>
  </si>
  <si>
    <t>Mat_2_Sp_Heat</t>
  </si>
  <si>
    <t>Mat_3_Sp_Heat</t>
  </si>
  <si>
    <t>Mat_4_Sp_Heat</t>
  </si>
  <si>
    <t>Brk</t>
  </si>
  <si>
    <t>Concrete</t>
  </si>
  <si>
    <t>Typology</t>
  </si>
  <si>
    <t>Business</t>
  </si>
  <si>
    <t>Retail</t>
  </si>
  <si>
    <t>Hospital</t>
  </si>
  <si>
    <t>Hotel</t>
  </si>
  <si>
    <t>Residential</t>
  </si>
  <si>
    <t>School</t>
  </si>
  <si>
    <t>Assembly</t>
  </si>
  <si>
    <t>As Designed</t>
  </si>
  <si>
    <t>CB</t>
  </si>
  <si>
    <t>GYP</t>
  </si>
  <si>
    <t>RCC/Concrete</t>
  </si>
  <si>
    <t>BrkTile/Brick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</si>
</sst>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"/>
    <numFmt numFmtId="166" formatCode="_ * #,##0.000_ ;_ * \-#,##0.000_ ;_ * &quot;-&quot;??_ ;_ @_ "/>
    <numFmt numFmtId="167" formatCode="_(* #,##0.000_);_(* \(#,##0.000\);_(* &quot;-&quot;??_);_(@_)"/>
  </numFmts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 Narrow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C9D1D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1" applyNumberFormat="1" applyFont="1"/>
    <xf numFmtId="167" fontId="3" fillId="0" borderId="0" xfId="1" applyNumberFormat="1" applyFont="1"/>
    <xf numFmtId="0" fontId="0" fillId="2" borderId="0" xfId="0" applyFill="1"/>
    <xf numFmtId="0" fontId="3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45DAF-5848-4291-B87D-A2627B17D54A}" name="Table2" displayName="Table2" ref="B1:B2" totalsRowShown="0">
  <autoFilter ref="B1:B2" xr:uid="{98C45DAF-5848-4291-B87D-A2627B17D54A}"/>
  <tableColumns count="1">
    <tableColumn id="1" xr3:uid="{99F1DB9C-6319-4217-A7AA-5D7A9328FE91}" name="Rotate">
      <calculatedColumnFormula>B1+45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CF7F7B-20A4-401F-8F15-E1EB8F52475A}" name="Table23" displayName="Table23" ref="B1:B10" totalsRowShown="0">
  <autoFilter ref="B1:B10" xr:uid="{4DCF7F7B-20A4-401F-8F15-E1EB8F52475A}"/>
  <tableColumns count="1">
    <tableColumn id="1" xr3:uid="{8634DB1A-36BA-486B-91AB-1E0CDE02623A}" name="L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F27B21-1FB5-4E27-A8CF-60F2F132447E}" name="Table234" displayName="Table234" ref="B1:B13" totalsRowShown="0">
  <autoFilter ref="B1:B13" xr:uid="{50F27B21-1FB5-4E27-A8CF-60F2F132447E}"/>
  <tableColumns count="1">
    <tableColumn id="1" xr3:uid="{19EF1FEB-7280-44A8-B209-6D5A85423DEC}" name="Equ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2EC3-AF5F-4AD3-9527-053EE16429CD}">
  <dimension ref="A1:H77"/>
  <sheetViews>
    <sheetView workbookViewId="0">
      <selection activeCell="M17" sqref="M17"/>
    </sheetView>
  </sheetViews>
  <sheetFormatPr defaultRowHeight="14.4" x14ac:dyDescent="0.3"/>
  <sheetData>
    <row r="1" spans="1:8" x14ac:dyDescent="0.3">
      <c r="A1" t="s">
        <v>10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">
      <c r="A2" t="s">
        <v>11</v>
      </c>
      <c r="B2" t="s">
        <v>38</v>
      </c>
      <c r="C2" t="s">
        <v>39</v>
      </c>
      <c r="D2">
        <v>4.9212598000000003E-2</v>
      </c>
      <c r="E2">
        <v>0.41659380000000001</v>
      </c>
      <c r="F2">
        <v>110.00166</v>
      </c>
      <c r="G2">
        <v>0.20063064</v>
      </c>
      <c r="H2">
        <v>0.118130895</v>
      </c>
    </row>
    <row r="3" spans="1:8" x14ac:dyDescent="0.3">
      <c r="A3" t="s">
        <v>11</v>
      </c>
      <c r="B3" t="s">
        <v>40</v>
      </c>
      <c r="C3" t="s">
        <v>41</v>
      </c>
      <c r="D3">
        <v>0.75459317599999998</v>
      </c>
      <c r="E3">
        <v>0.56624399999999997</v>
      </c>
      <c r="F3">
        <v>119.8656</v>
      </c>
      <c r="G3">
        <v>0.19107679999999999</v>
      </c>
      <c r="H3">
        <v>1.3326290009999999</v>
      </c>
    </row>
    <row r="4" spans="1:8" x14ac:dyDescent="0.3">
      <c r="A4" t="s">
        <v>11</v>
      </c>
      <c r="B4" t="s">
        <v>42</v>
      </c>
      <c r="C4" t="s">
        <v>39</v>
      </c>
      <c r="D4">
        <v>4.9212598000000003E-2</v>
      </c>
      <c r="E4">
        <v>0.41659380000000001</v>
      </c>
      <c r="F4">
        <v>110.00166</v>
      </c>
      <c r="G4">
        <v>0.20063064</v>
      </c>
      <c r="H4">
        <v>0.118130895</v>
      </c>
    </row>
    <row r="5" spans="1:8" x14ac:dyDescent="0.3">
      <c r="A5" t="s">
        <v>12</v>
      </c>
      <c r="B5" t="s">
        <v>38</v>
      </c>
      <c r="C5" t="s">
        <v>39</v>
      </c>
      <c r="D5">
        <v>4.9212598000000003E-2</v>
      </c>
      <c r="E5">
        <v>0.41659380000000001</v>
      </c>
      <c r="F5">
        <v>110.00166</v>
      </c>
      <c r="G5">
        <v>0.20063064</v>
      </c>
      <c r="H5">
        <v>0.118130895</v>
      </c>
    </row>
    <row r="6" spans="1:8" x14ac:dyDescent="0.3">
      <c r="A6" t="s">
        <v>12</v>
      </c>
      <c r="B6" t="s">
        <v>40</v>
      </c>
      <c r="C6" t="s">
        <v>9</v>
      </c>
      <c r="D6">
        <v>1.6404199000000001E-2</v>
      </c>
      <c r="E6">
        <v>1.6178399999999999E-2</v>
      </c>
      <c r="F6">
        <v>2.1850499999999999</v>
      </c>
      <c r="G6">
        <v>0.28972019799999998</v>
      </c>
      <c r="H6">
        <v>1.0139568480000001</v>
      </c>
    </row>
    <row r="7" spans="1:8" x14ac:dyDescent="0.3">
      <c r="A7" t="s">
        <v>12</v>
      </c>
      <c r="B7" t="s">
        <v>42</v>
      </c>
      <c r="C7" t="s">
        <v>41</v>
      </c>
      <c r="D7">
        <v>0.75459317599999998</v>
      </c>
      <c r="E7">
        <v>0.56624399999999997</v>
      </c>
      <c r="F7">
        <v>119.8656</v>
      </c>
      <c r="G7">
        <v>0.19107679999999999</v>
      </c>
      <c r="H7">
        <v>1.3326290009999999</v>
      </c>
    </row>
    <row r="8" spans="1:8" x14ac:dyDescent="0.3">
      <c r="A8" t="s">
        <v>12</v>
      </c>
      <c r="B8" t="s">
        <v>43</v>
      </c>
      <c r="C8" t="s">
        <v>39</v>
      </c>
      <c r="D8">
        <v>4.9212598000000003E-2</v>
      </c>
      <c r="E8">
        <v>0.41659380000000001</v>
      </c>
      <c r="F8">
        <v>110.00166</v>
      </c>
      <c r="G8">
        <v>0.20063064</v>
      </c>
      <c r="H8">
        <v>0.118130895</v>
      </c>
    </row>
    <row r="9" spans="1:8" x14ac:dyDescent="0.3">
      <c r="A9" t="s">
        <v>13</v>
      </c>
      <c r="B9" t="s">
        <v>38</v>
      </c>
      <c r="C9" t="s">
        <v>39</v>
      </c>
      <c r="D9">
        <v>4.9212598000000003E-2</v>
      </c>
      <c r="E9">
        <v>0.41659380000000001</v>
      </c>
      <c r="F9">
        <v>110.00166</v>
      </c>
      <c r="G9">
        <v>0.20063064</v>
      </c>
      <c r="H9">
        <v>0.118130895</v>
      </c>
    </row>
    <row r="10" spans="1:8" x14ac:dyDescent="0.3">
      <c r="A10" t="s">
        <v>13</v>
      </c>
      <c r="B10" t="s">
        <v>40</v>
      </c>
      <c r="C10" t="s">
        <v>9</v>
      </c>
      <c r="D10">
        <v>3.2808399000000002E-2</v>
      </c>
      <c r="E10">
        <v>1.6178399999999999E-2</v>
      </c>
      <c r="F10">
        <v>2.1850499999999999</v>
      </c>
      <c r="G10">
        <v>0.28972019799999998</v>
      </c>
      <c r="H10">
        <v>2.0279136969999998</v>
      </c>
    </row>
    <row r="11" spans="1:8" x14ac:dyDescent="0.3">
      <c r="A11" t="s">
        <v>13</v>
      </c>
      <c r="B11" t="s">
        <v>42</v>
      </c>
      <c r="C11" t="s">
        <v>41</v>
      </c>
      <c r="D11">
        <v>0.75459317599999998</v>
      </c>
      <c r="E11">
        <v>0.56624399999999997</v>
      </c>
      <c r="F11">
        <v>119.8656</v>
      </c>
      <c r="G11">
        <v>0.19107679999999999</v>
      </c>
      <c r="H11">
        <v>1.3326290009999999</v>
      </c>
    </row>
    <row r="12" spans="1:8" x14ac:dyDescent="0.3">
      <c r="A12" t="s">
        <v>13</v>
      </c>
      <c r="B12" t="s">
        <v>43</v>
      </c>
      <c r="C12" t="s">
        <v>39</v>
      </c>
      <c r="D12">
        <v>4.9212598000000003E-2</v>
      </c>
      <c r="E12">
        <v>0.41659380000000001</v>
      </c>
      <c r="F12">
        <v>110.00166</v>
      </c>
      <c r="G12">
        <v>0.20063064</v>
      </c>
      <c r="H12">
        <v>0.118130895</v>
      </c>
    </row>
    <row r="13" spans="1:8" x14ac:dyDescent="0.3">
      <c r="A13" t="s">
        <v>14</v>
      </c>
      <c r="B13" t="s">
        <v>38</v>
      </c>
      <c r="C13" t="s">
        <v>39</v>
      </c>
      <c r="D13">
        <v>4.9212598000000003E-2</v>
      </c>
      <c r="E13">
        <v>0.41659380000000001</v>
      </c>
      <c r="F13">
        <v>110.00166</v>
      </c>
      <c r="G13">
        <v>0.20063064</v>
      </c>
      <c r="H13">
        <v>0.118130895</v>
      </c>
    </row>
    <row r="14" spans="1:8" x14ac:dyDescent="0.3">
      <c r="A14" t="s">
        <v>14</v>
      </c>
      <c r="B14" t="s">
        <v>40</v>
      </c>
      <c r="C14" t="s">
        <v>44</v>
      </c>
      <c r="D14">
        <v>8.2020996999999998E-2</v>
      </c>
      <c r="E14">
        <v>2.1956400000000001E-2</v>
      </c>
      <c r="F14">
        <v>1.74804</v>
      </c>
      <c r="G14">
        <v>0.28972019799999998</v>
      </c>
      <c r="H14">
        <v>3.735630494</v>
      </c>
    </row>
    <row r="15" spans="1:8" x14ac:dyDescent="0.3">
      <c r="A15" t="s">
        <v>14</v>
      </c>
      <c r="B15" t="s">
        <v>42</v>
      </c>
      <c r="C15" t="s">
        <v>41</v>
      </c>
      <c r="D15">
        <v>0.75459317599999998</v>
      </c>
      <c r="E15">
        <v>0.56624399999999997</v>
      </c>
      <c r="F15">
        <v>119.8656</v>
      </c>
      <c r="G15">
        <v>0.19107679999999999</v>
      </c>
      <c r="H15">
        <v>1.3326290009999999</v>
      </c>
    </row>
    <row r="16" spans="1:8" x14ac:dyDescent="0.3">
      <c r="A16" t="s">
        <v>14</v>
      </c>
      <c r="B16" t="s">
        <v>43</v>
      </c>
      <c r="C16" t="s">
        <v>39</v>
      </c>
      <c r="D16">
        <v>4.9212598000000003E-2</v>
      </c>
      <c r="E16">
        <v>0.41659380000000001</v>
      </c>
      <c r="F16">
        <v>110.00166</v>
      </c>
      <c r="G16">
        <v>0.20063064</v>
      </c>
      <c r="H16">
        <v>0.118130895</v>
      </c>
    </row>
    <row r="17" spans="1:8" x14ac:dyDescent="0.3">
      <c r="A17" t="s">
        <v>15</v>
      </c>
      <c r="B17" t="s">
        <v>38</v>
      </c>
      <c r="C17" t="s">
        <v>39</v>
      </c>
      <c r="D17">
        <v>4.9212598000000003E-2</v>
      </c>
      <c r="E17">
        <v>0.41659380000000001</v>
      </c>
      <c r="F17">
        <v>110.00166</v>
      </c>
      <c r="G17">
        <v>0.20063064</v>
      </c>
      <c r="H17">
        <v>0.118130895</v>
      </c>
    </row>
    <row r="18" spans="1:8" x14ac:dyDescent="0.3">
      <c r="A18" t="s">
        <v>15</v>
      </c>
      <c r="B18" t="s">
        <v>40</v>
      </c>
      <c r="C18" t="s">
        <v>44</v>
      </c>
      <c r="D18">
        <v>0.164041995</v>
      </c>
      <c r="E18">
        <v>2.1956400000000001E-2</v>
      </c>
      <c r="F18">
        <v>1.74804</v>
      </c>
      <c r="G18">
        <v>0.28972019799999998</v>
      </c>
      <c r="H18">
        <v>7.471260988</v>
      </c>
    </row>
    <row r="19" spans="1:8" x14ac:dyDescent="0.3">
      <c r="A19" t="s">
        <v>15</v>
      </c>
      <c r="B19" t="s">
        <v>42</v>
      </c>
      <c r="C19" t="s">
        <v>41</v>
      </c>
      <c r="D19">
        <v>0.75459317599999998</v>
      </c>
      <c r="E19">
        <v>0.56624399999999997</v>
      </c>
      <c r="F19">
        <v>119.8656</v>
      </c>
      <c r="G19">
        <v>0.19107679999999999</v>
      </c>
      <c r="H19">
        <v>1.3326290009999999</v>
      </c>
    </row>
    <row r="20" spans="1:8" x14ac:dyDescent="0.3">
      <c r="A20" t="s">
        <v>15</v>
      </c>
      <c r="B20" t="s">
        <v>43</v>
      </c>
      <c r="C20" t="s">
        <v>39</v>
      </c>
      <c r="D20">
        <v>4.9212598000000003E-2</v>
      </c>
      <c r="E20">
        <v>0.41659380000000001</v>
      </c>
      <c r="F20">
        <v>110.00166</v>
      </c>
      <c r="G20">
        <v>0.20063064</v>
      </c>
      <c r="H20">
        <v>0.118130895</v>
      </c>
    </row>
    <row r="21" spans="1:8" x14ac:dyDescent="0.3">
      <c r="A21" t="s">
        <v>16</v>
      </c>
      <c r="B21" t="s">
        <v>38</v>
      </c>
      <c r="C21" t="s">
        <v>39</v>
      </c>
      <c r="D21">
        <v>4.9212598000000003E-2</v>
      </c>
      <c r="E21">
        <v>0.41659380000000001</v>
      </c>
      <c r="F21">
        <v>110.00166</v>
      </c>
      <c r="G21">
        <v>0.20063064</v>
      </c>
      <c r="H21">
        <v>0.118130895</v>
      </c>
    </row>
    <row r="22" spans="1:8" x14ac:dyDescent="0.3">
      <c r="A22" t="s">
        <v>16</v>
      </c>
      <c r="B22" t="s">
        <v>40</v>
      </c>
      <c r="C22" t="s">
        <v>45</v>
      </c>
      <c r="D22">
        <v>0.65616797900000001</v>
      </c>
      <c r="E22">
        <v>0.1063152</v>
      </c>
      <c r="F22">
        <v>40.080060000000003</v>
      </c>
      <c r="G22">
        <v>0.29616903999999999</v>
      </c>
      <c r="H22">
        <v>6.171911251</v>
      </c>
    </row>
    <row r="23" spans="1:8" x14ac:dyDescent="0.3">
      <c r="A23" t="s">
        <v>16</v>
      </c>
      <c r="B23" t="s">
        <v>42</v>
      </c>
      <c r="C23" t="s">
        <v>39</v>
      </c>
      <c r="D23">
        <v>4.9212598000000003E-2</v>
      </c>
      <c r="E23">
        <v>0.41659380000000001</v>
      </c>
      <c r="F23">
        <v>110.00166</v>
      </c>
      <c r="G23">
        <v>0.20063064</v>
      </c>
      <c r="H23">
        <v>0.118130895</v>
      </c>
    </row>
    <row r="24" spans="1:8" x14ac:dyDescent="0.3">
      <c r="A24" t="s">
        <v>17</v>
      </c>
      <c r="B24" t="s">
        <v>38</v>
      </c>
      <c r="C24" t="s">
        <v>39</v>
      </c>
      <c r="D24">
        <v>4.9212598000000003E-2</v>
      </c>
      <c r="E24">
        <v>0.41659380000000001</v>
      </c>
      <c r="F24">
        <v>110.00166</v>
      </c>
      <c r="G24">
        <v>0.20063064</v>
      </c>
      <c r="H24">
        <v>0.118130895</v>
      </c>
    </row>
    <row r="25" spans="1:8" x14ac:dyDescent="0.3">
      <c r="A25" t="s">
        <v>17</v>
      </c>
      <c r="B25" t="s">
        <v>40</v>
      </c>
      <c r="C25" t="s">
        <v>44</v>
      </c>
      <c r="D25">
        <v>8.2020996999999998E-2</v>
      </c>
      <c r="E25">
        <v>2.1956400000000001E-2</v>
      </c>
      <c r="F25">
        <v>1.74804</v>
      </c>
      <c r="G25">
        <v>0.28972019799999998</v>
      </c>
      <c r="H25">
        <v>3.735630494</v>
      </c>
    </row>
    <row r="26" spans="1:8" x14ac:dyDescent="0.3">
      <c r="A26" t="s">
        <v>17</v>
      </c>
      <c r="B26" t="s">
        <v>42</v>
      </c>
      <c r="C26" t="s">
        <v>45</v>
      </c>
      <c r="D26">
        <v>0.65616797900000001</v>
      </c>
      <c r="E26">
        <v>0.1063152</v>
      </c>
      <c r="F26">
        <v>40.080060000000003</v>
      </c>
      <c r="G26">
        <v>0.29616903999999999</v>
      </c>
      <c r="H26">
        <v>6.171911251</v>
      </c>
    </row>
    <row r="27" spans="1:8" x14ac:dyDescent="0.3">
      <c r="A27" t="s">
        <v>17</v>
      </c>
      <c r="B27" t="s">
        <v>43</v>
      </c>
      <c r="C27" t="s">
        <v>39</v>
      </c>
      <c r="D27">
        <v>4.9212598000000003E-2</v>
      </c>
      <c r="E27">
        <v>0.41659380000000001</v>
      </c>
      <c r="F27">
        <v>110.00166</v>
      </c>
      <c r="G27">
        <v>0.20063064</v>
      </c>
      <c r="H27">
        <v>0.118130895</v>
      </c>
    </row>
    <row r="28" spans="1:8" x14ac:dyDescent="0.3">
      <c r="A28" t="s">
        <v>18</v>
      </c>
      <c r="B28" t="s">
        <v>38</v>
      </c>
      <c r="C28" t="s">
        <v>39</v>
      </c>
      <c r="D28">
        <v>4.9212598000000003E-2</v>
      </c>
      <c r="E28">
        <v>0.41659380000000001</v>
      </c>
      <c r="F28">
        <v>110.00166</v>
      </c>
      <c r="G28">
        <v>0.20063064</v>
      </c>
      <c r="H28">
        <v>0.118130895</v>
      </c>
    </row>
    <row r="29" spans="1:8" x14ac:dyDescent="0.3">
      <c r="A29" t="s">
        <v>18</v>
      </c>
      <c r="B29" t="s">
        <v>40</v>
      </c>
      <c r="C29" t="s">
        <v>44</v>
      </c>
      <c r="D29">
        <v>0.164041995</v>
      </c>
      <c r="E29">
        <v>2.1956400000000001E-2</v>
      </c>
      <c r="F29">
        <v>1.74804</v>
      </c>
      <c r="G29">
        <v>0.28972019799999998</v>
      </c>
      <c r="H29">
        <v>7.471260988</v>
      </c>
    </row>
    <row r="30" spans="1:8" x14ac:dyDescent="0.3">
      <c r="A30" t="s">
        <v>18</v>
      </c>
      <c r="B30" t="s">
        <v>42</v>
      </c>
      <c r="C30" t="s">
        <v>45</v>
      </c>
      <c r="D30">
        <v>0.65616797900000001</v>
      </c>
      <c r="E30">
        <v>0.1063152</v>
      </c>
      <c r="F30">
        <v>40.080060000000003</v>
      </c>
      <c r="G30">
        <v>0.29616903999999999</v>
      </c>
      <c r="H30">
        <v>6.171911251</v>
      </c>
    </row>
    <row r="31" spans="1:8" x14ac:dyDescent="0.3">
      <c r="A31" t="s">
        <v>18</v>
      </c>
      <c r="B31" t="s">
        <v>43</v>
      </c>
      <c r="C31" t="s">
        <v>39</v>
      </c>
      <c r="D31">
        <v>4.9212598000000003E-2</v>
      </c>
      <c r="E31">
        <v>0.41659380000000001</v>
      </c>
      <c r="F31">
        <v>110.00166</v>
      </c>
      <c r="G31">
        <v>0.20063064</v>
      </c>
      <c r="H31">
        <v>0.118130895</v>
      </c>
    </row>
    <row r="32" spans="1:8" x14ac:dyDescent="0.3">
      <c r="A32" t="s">
        <v>19</v>
      </c>
      <c r="B32" t="s">
        <v>38</v>
      </c>
      <c r="C32" t="s">
        <v>39</v>
      </c>
      <c r="D32">
        <v>4.9212598000000003E-2</v>
      </c>
      <c r="E32">
        <v>0.41659380000000001</v>
      </c>
      <c r="F32">
        <v>110.00166</v>
      </c>
      <c r="G32">
        <v>0.20063064</v>
      </c>
      <c r="H32">
        <v>0.118130895</v>
      </c>
    </row>
    <row r="33" spans="1:8" x14ac:dyDescent="0.3">
      <c r="A33" t="s">
        <v>19</v>
      </c>
      <c r="B33" t="s">
        <v>40</v>
      </c>
      <c r="C33" t="s">
        <v>46</v>
      </c>
      <c r="D33">
        <v>0.164041995</v>
      </c>
      <c r="E33">
        <v>1.5022799999999999E-2</v>
      </c>
      <c r="F33">
        <v>2.4971999999999999</v>
      </c>
      <c r="G33">
        <v>0.37976514</v>
      </c>
      <c r="H33">
        <v>10.919535290000001</v>
      </c>
    </row>
    <row r="34" spans="1:8" x14ac:dyDescent="0.3">
      <c r="A34" t="s">
        <v>19</v>
      </c>
      <c r="B34" t="s">
        <v>42</v>
      </c>
      <c r="C34" t="s">
        <v>45</v>
      </c>
      <c r="D34">
        <v>0.65616797900000001</v>
      </c>
      <c r="E34">
        <v>0.1063152</v>
      </c>
      <c r="F34">
        <v>40.080060000000003</v>
      </c>
      <c r="G34">
        <v>0.29616903999999999</v>
      </c>
      <c r="H34">
        <v>6.171911251</v>
      </c>
    </row>
    <row r="35" spans="1:8" x14ac:dyDescent="0.3">
      <c r="A35" t="s">
        <v>19</v>
      </c>
      <c r="B35" t="s">
        <v>43</v>
      </c>
      <c r="C35" t="s">
        <v>39</v>
      </c>
      <c r="D35">
        <v>4.9212598000000003E-2</v>
      </c>
      <c r="E35">
        <v>0.41659380000000001</v>
      </c>
      <c r="F35">
        <v>110.00166</v>
      </c>
      <c r="G35">
        <v>0.20063064</v>
      </c>
      <c r="H35">
        <v>0.118130895</v>
      </c>
    </row>
    <row r="36" spans="1:8" x14ac:dyDescent="0.3">
      <c r="A36" t="s">
        <v>20</v>
      </c>
      <c r="B36" t="s">
        <v>38</v>
      </c>
      <c r="C36" t="s">
        <v>39</v>
      </c>
      <c r="D36">
        <v>4.9212598000000003E-2</v>
      </c>
      <c r="E36">
        <v>0.41659380000000001</v>
      </c>
      <c r="F36">
        <v>110.00166</v>
      </c>
      <c r="G36">
        <v>0.20063064</v>
      </c>
      <c r="H36">
        <v>0.118130895</v>
      </c>
    </row>
    <row r="37" spans="1:8" x14ac:dyDescent="0.3">
      <c r="A37" t="s">
        <v>20</v>
      </c>
      <c r="B37" t="s">
        <v>40</v>
      </c>
      <c r="C37" t="s">
        <v>46</v>
      </c>
      <c r="D37">
        <v>8.2020996999999998E-2</v>
      </c>
      <c r="E37">
        <v>1.5022799999999999E-2</v>
      </c>
      <c r="F37">
        <v>2.4971999999999999</v>
      </c>
      <c r="G37">
        <v>0.37976514</v>
      </c>
      <c r="H37">
        <v>5.4597676450000003</v>
      </c>
    </row>
    <row r="38" spans="1:8" x14ac:dyDescent="0.3">
      <c r="A38" t="s">
        <v>20</v>
      </c>
      <c r="B38" t="s">
        <v>42</v>
      </c>
      <c r="C38" t="s">
        <v>47</v>
      </c>
      <c r="D38">
        <v>0.75459317599999998</v>
      </c>
      <c r="E38">
        <v>0.4945968</v>
      </c>
      <c r="F38">
        <v>103.0095</v>
      </c>
      <c r="G38">
        <v>0.22212678</v>
      </c>
      <c r="H38">
        <v>1.525673389</v>
      </c>
    </row>
    <row r="39" spans="1:8" x14ac:dyDescent="0.3">
      <c r="A39" t="s">
        <v>20</v>
      </c>
      <c r="B39" t="s">
        <v>43</v>
      </c>
      <c r="C39" t="s">
        <v>39</v>
      </c>
      <c r="D39">
        <v>4.9212598000000003E-2</v>
      </c>
      <c r="E39">
        <v>0.41659380000000001</v>
      </c>
      <c r="F39">
        <v>110.00166</v>
      </c>
      <c r="G39">
        <v>0.20063064</v>
      </c>
      <c r="H39">
        <v>0.118130895</v>
      </c>
    </row>
    <row r="40" spans="1:8" x14ac:dyDescent="0.3">
      <c r="A40" t="s">
        <v>21</v>
      </c>
      <c r="B40" t="s">
        <v>38</v>
      </c>
      <c r="C40" t="s">
        <v>39</v>
      </c>
      <c r="D40">
        <v>4.9212598000000003E-2</v>
      </c>
      <c r="E40">
        <v>0.41659380000000001</v>
      </c>
      <c r="F40">
        <v>110.00166</v>
      </c>
      <c r="G40">
        <v>0.20063064</v>
      </c>
      <c r="H40">
        <v>0.118130895</v>
      </c>
    </row>
    <row r="41" spans="1:8" x14ac:dyDescent="0.3">
      <c r="A41" t="s">
        <v>21</v>
      </c>
      <c r="B41" t="s">
        <v>40</v>
      </c>
      <c r="C41" t="s">
        <v>46</v>
      </c>
      <c r="D41">
        <v>0.164041995</v>
      </c>
      <c r="E41">
        <v>1.5022799999999999E-2</v>
      </c>
      <c r="F41">
        <v>2.4971999999999999</v>
      </c>
      <c r="G41">
        <v>0.37976514</v>
      </c>
      <c r="H41">
        <v>10.919535290000001</v>
      </c>
    </row>
    <row r="42" spans="1:8" x14ac:dyDescent="0.3">
      <c r="A42" t="s">
        <v>21</v>
      </c>
      <c r="B42" t="s">
        <v>42</v>
      </c>
      <c r="C42" t="s">
        <v>47</v>
      </c>
      <c r="D42">
        <v>0.75459317599999998</v>
      </c>
      <c r="E42">
        <v>0.4945968</v>
      </c>
      <c r="F42">
        <v>103.0095</v>
      </c>
      <c r="G42">
        <v>0.22212678</v>
      </c>
      <c r="H42">
        <v>1.525673389</v>
      </c>
    </row>
    <row r="43" spans="1:8" x14ac:dyDescent="0.3">
      <c r="A43" t="s">
        <v>21</v>
      </c>
      <c r="B43" t="s">
        <v>43</v>
      </c>
      <c r="C43" t="s">
        <v>39</v>
      </c>
      <c r="D43">
        <v>4.9212598000000003E-2</v>
      </c>
      <c r="E43">
        <v>0.41659380000000001</v>
      </c>
      <c r="F43">
        <v>110.00166</v>
      </c>
      <c r="G43">
        <v>0.20063064</v>
      </c>
      <c r="H43">
        <v>0.118130895</v>
      </c>
    </row>
    <row r="44" spans="1:8" x14ac:dyDescent="0.3">
      <c r="A44" t="s">
        <v>22</v>
      </c>
      <c r="B44" t="s">
        <v>38</v>
      </c>
      <c r="C44" t="s">
        <v>39</v>
      </c>
      <c r="D44">
        <v>4.9212598000000003E-2</v>
      </c>
      <c r="E44">
        <v>0.41659380000000001</v>
      </c>
      <c r="F44">
        <v>110.00166</v>
      </c>
      <c r="G44">
        <v>0.20063064</v>
      </c>
      <c r="H44">
        <v>0.118130895</v>
      </c>
    </row>
    <row r="45" spans="1:8" x14ac:dyDescent="0.3">
      <c r="A45" t="s">
        <v>22</v>
      </c>
      <c r="B45" t="s">
        <v>40</v>
      </c>
      <c r="C45" t="s">
        <v>48</v>
      </c>
      <c r="D45">
        <v>0.65616797900000001</v>
      </c>
      <c r="E45">
        <v>0.80660880000000001</v>
      </c>
      <c r="F45">
        <v>151.51760999999999</v>
      </c>
      <c r="G45">
        <v>4.7769199999999998E-2</v>
      </c>
      <c r="H45">
        <v>0.81348973499999999</v>
      </c>
    </row>
    <row r="46" spans="1:8" x14ac:dyDescent="0.3">
      <c r="A46" t="s">
        <v>22</v>
      </c>
      <c r="B46" t="s">
        <v>42</v>
      </c>
      <c r="C46" t="s">
        <v>39</v>
      </c>
      <c r="D46">
        <v>4.9212598000000003E-2</v>
      </c>
      <c r="E46">
        <v>0.41659380000000001</v>
      </c>
      <c r="F46">
        <v>110.00166</v>
      </c>
      <c r="G46">
        <v>0.20063064</v>
      </c>
      <c r="H46">
        <v>0.118130895</v>
      </c>
    </row>
    <row r="47" spans="1:8" x14ac:dyDescent="0.3">
      <c r="A47" t="s">
        <v>23</v>
      </c>
      <c r="B47" t="s">
        <v>38</v>
      </c>
      <c r="C47" t="s">
        <v>39</v>
      </c>
      <c r="D47">
        <v>4.9212598000000003E-2</v>
      </c>
      <c r="E47">
        <v>0.41659380000000001</v>
      </c>
      <c r="F47">
        <v>110.00166</v>
      </c>
      <c r="G47">
        <v>0.20063064</v>
      </c>
      <c r="H47">
        <v>0.118130895</v>
      </c>
    </row>
    <row r="48" spans="1:8" x14ac:dyDescent="0.3">
      <c r="A48" t="s">
        <v>23</v>
      </c>
      <c r="B48" t="s">
        <v>40</v>
      </c>
      <c r="C48" t="s">
        <v>9</v>
      </c>
      <c r="D48">
        <v>1.6404199000000001E-2</v>
      </c>
      <c r="E48">
        <v>1.6178399999999999E-2</v>
      </c>
      <c r="F48">
        <v>2.1850499999999999</v>
      </c>
      <c r="G48">
        <v>0.28972019799999998</v>
      </c>
      <c r="H48">
        <v>1.0139568480000001</v>
      </c>
    </row>
    <row r="49" spans="1:8" x14ac:dyDescent="0.3">
      <c r="A49" t="s">
        <v>23</v>
      </c>
      <c r="B49" t="s">
        <v>42</v>
      </c>
      <c r="C49" t="s">
        <v>41</v>
      </c>
      <c r="D49">
        <v>0.75459317599999998</v>
      </c>
      <c r="E49">
        <v>0.56624399999999997</v>
      </c>
      <c r="F49">
        <v>119.8656</v>
      </c>
      <c r="G49">
        <v>0.19107679999999999</v>
      </c>
      <c r="H49">
        <v>1.3326290009999999</v>
      </c>
    </row>
    <row r="50" spans="1:8" x14ac:dyDescent="0.3">
      <c r="A50" t="s">
        <v>23</v>
      </c>
      <c r="B50" t="s">
        <v>43</v>
      </c>
      <c r="C50" t="s">
        <v>39</v>
      </c>
      <c r="D50">
        <v>4.9212598000000003E-2</v>
      </c>
      <c r="E50">
        <v>0.41659380000000001</v>
      </c>
      <c r="F50">
        <v>110.00166</v>
      </c>
      <c r="G50">
        <v>0.20063064</v>
      </c>
      <c r="H50">
        <v>0.118130895</v>
      </c>
    </row>
    <row r="51" spans="1:8" x14ac:dyDescent="0.3">
      <c r="A51" t="s">
        <v>24</v>
      </c>
      <c r="B51" t="s">
        <v>38</v>
      </c>
      <c r="C51" t="s">
        <v>39</v>
      </c>
      <c r="D51">
        <v>4.9212598000000003E-2</v>
      </c>
      <c r="E51">
        <v>0.41659380000000001</v>
      </c>
      <c r="F51">
        <v>110.00166</v>
      </c>
      <c r="G51">
        <v>0.20063064</v>
      </c>
      <c r="H51">
        <v>0.118130895</v>
      </c>
    </row>
    <row r="52" spans="1:8" x14ac:dyDescent="0.3">
      <c r="A52" t="s">
        <v>24</v>
      </c>
      <c r="B52" t="s">
        <v>40</v>
      </c>
      <c r="C52" t="s">
        <v>44</v>
      </c>
      <c r="D52">
        <v>4.9212598000000003E-2</v>
      </c>
      <c r="E52">
        <v>2.1956400000000001E-2</v>
      </c>
      <c r="F52">
        <v>1.74804</v>
      </c>
      <c r="G52">
        <v>0.28972019799999998</v>
      </c>
      <c r="H52">
        <v>2.2413782960000002</v>
      </c>
    </row>
    <row r="53" spans="1:8" x14ac:dyDescent="0.3">
      <c r="A53" t="s">
        <v>24</v>
      </c>
      <c r="B53" t="s">
        <v>42</v>
      </c>
      <c r="C53" t="s">
        <v>41</v>
      </c>
      <c r="D53">
        <v>0.75459317599999998</v>
      </c>
      <c r="E53">
        <v>0.56624399999999997</v>
      </c>
      <c r="F53">
        <v>119.8656</v>
      </c>
      <c r="G53">
        <v>0.19107679999999999</v>
      </c>
      <c r="H53">
        <v>1.3326290009999999</v>
      </c>
    </row>
    <row r="54" spans="1:8" x14ac:dyDescent="0.3">
      <c r="A54" t="s">
        <v>24</v>
      </c>
      <c r="B54" t="s">
        <v>43</v>
      </c>
      <c r="C54" t="s">
        <v>39</v>
      </c>
      <c r="D54">
        <v>4.9212598000000003E-2</v>
      </c>
      <c r="E54">
        <v>0.41659380000000001</v>
      </c>
      <c r="F54">
        <v>110.00166</v>
      </c>
      <c r="G54">
        <v>0.20063064</v>
      </c>
      <c r="H54">
        <v>0.118130895</v>
      </c>
    </row>
    <row r="55" spans="1:8" x14ac:dyDescent="0.3">
      <c r="A55" t="s">
        <v>25</v>
      </c>
      <c r="B55" t="s">
        <v>38</v>
      </c>
      <c r="C55" t="s">
        <v>39</v>
      </c>
      <c r="D55">
        <v>4.9212598000000003E-2</v>
      </c>
      <c r="E55">
        <v>0.41659380000000001</v>
      </c>
      <c r="F55">
        <v>110.00166</v>
      </c>
      <c r="G55">
        <v>0.20063064</v>
      </c>
      <c r="H55">
        <v>0.118130895</v>
      </c>
    </row>
    <row r="56" spans="1:8" x14ac:dyDescent="0.3">
      <c r="A56" t="s">
        <v>25</v>
      </c>
      <c r="B56" t="s">
        <v>40</v>
      </c>
      <c r="C56" t="s">
        <v>44</v>
      </c>
      <c r="D56">
        <v>6.5616798000000004E-2</v>
      </c>
      <c r="E56">
        <v>2.1956400000000001E-2</v>
      </c>
      <c r="F56">
        <v>1.74804</v>
      </c>
      <c r="G56">
        <v>0.28972019799999998</v>
      </c>
      <c r="H56">
        <v>2.9885043950000001</v>
      </c>
    </row>
    <row r="57" spans="1:8" x14ac:dyDescent="0.3">
      <c r="A57" t="s">
        <v>25</v>
      </c>
      <c r="B57" t="s">
        <v>42</v>
      </c>
      <c r="C57" t="s">
        <v>41</v>
      </c>
      <c r="D57">
        <v>0.75459317599999998</v>
      </c>
      <c r="E57">
        <v>0.56624399999999997</v>
      </c>
      <c r="F57">
        <v>119.8656</v>
      </c>
      <c r="G57">
        <v>0.19107679999999999</v>
      </c>
      <c r="H57">
        <v>1.3326290009999999</v>
      </c>
    </row>
    <row r="58" spans="1:8" x14ac:dyDescent="0.3">
      <c r="A58" t="s">
        <v>25</v>
      </c>
      <c r="B58" t="s">
        <v>43</v>
      </c>
      <c r="C58" t="s">
        <v>39</v>
      </c>
      <c r="D58">
        <v>4.9212598000000003E-2</v>
      </c>
      <c r="E58">
        <v>0.41659380000000001</v>
      </c>
      <c r="F58">
        <v>110.00166</v>
      </c>
      <c r="G58">
        <v>0.20063064</v>
      </c>
      <c r="H58">
        <v>0.118130895</v>
      </c>
    </row>
    <row r="59" spans="1:8" x14ac:dyDescent="0.3">
      <c r="A59" t="s">
        <v>26</v>
      </c>
      <c r="B59" t="s">
        <v>38</v>
      </c>
      <c r="C59" t="s">
        <v>39</v>
      </c>
      <c r="D59">
        <v>4.9212598000000003E-2</v>
      </c>
      <c r="E59">
        <v>0.41659380000000001</v>
      </c>
      <c r="F59">
        <v>110.00166</v>
      </c>
      <c r="G59">
        <v>0.20063064</v>
      </c>
      <c r="H59">
        <v>0.118130895</v>
      </c>
    </row>
    <row r="60" spans="1:8" x14ac:dyDescent="0.3">
      <c r="A60" t="s">
        <v>26</v>
      </c>
      <c r="B60" t="s">
        <v>40</v>
      </c>
      <c r="C60" t="s">
        <v>9</v>
      </c>
      <c r="D60">
        <v>8.2020996999999998E-2</v>
      </c>
      <c r="E60">
        <v>1.6178399999999999E-2</v>
      </c>
      <c r="F60">
        <v>2.1850499999999999</v>
      </c>
      <c r="G60">
        <v>0.28972019799999998</v>
      </c>
      <c r="H60">
        <v>5.0697842419999999</v>
      </c>
    </row>
    <row r="61" spans="1:8" x14ac:dyDescent="0.3">
      <c r="A61" t="s">
        <v>26</v>
      </c>
      <c r="B61" t="s">
        <v>42</v>
      </c>
      <c r="C61" t="s">
        <v>41</v>
      </c>
      <c r="D61">
        <v>0.75459317599999998</v>
      </c>
      <c r="E61">
        <v>0.56624399999999997</v>
      </c>
      <c r="F61">
        <v>119.8656</v>
      </c>
      <c r="G61">
        <v>0.19107679999999999</v>
      </c>
      <c r="H61">
        <v>1.3326290009999999</v>
      </c>
    </row>
    <row r="62" spans="1:8" x14ac:dyDescent="0.3">
      <c r="A62" t="s">
        <v>26</v>
      </c>
      <c r="B62" t="s">
        <v>43</v>
      </c>
      <c r="C62" t="s">
        <v>39</v>
      </c>
      <c r="D62">
        <v>4.9212598000000003E-2</v>
      </c>
      <c r="E62">
        <v>0.41659380000000001</v>
      </c>
      <c r="F62">
        <v>110.00166</v>
      </c>
      <c r="G62">
        <v>0.20063064</v>
      </c>
      <c r="H62">
        <v>0.118130895</v>
      </c>
    </row>
    <row r="63" spans="1:8" x14ac:dyDescent="0.3">
      <c r="A63" t="s">
        <v>27</v>
      </c>
      <c r="B63" t="s">
        <v>38</v>
      </c>
      <c r="C63" t="s">
        <v>39</v>
      </c>
      <c r="D63">
        <v>4.9212598000000003E-2</v>
      </c>
      <c r="E63">
        <v>0.41659380000000001</v>
      </c>
      <c r="F63">
        <v>110.00166</v>
      </c>
      <c r="G63">
        <v>0.20063064</v>
      </c>
      <c r="H63">
        <v>0.118130895</v>
      </c>
    </row>
    <row r="64" spans="1:8" x14ac:dyDescent="0.3">
      <c r="A64" t="s">
        <v>27</v>
      </c>
      <c r="B64" t="s">
        <v>40</v>
      </c>
      <c r="C64" t="s">
        <v>9</v>
      </c>
      <c r="D64">
        <v>0.164041995</v>
      </c>
      <c r="E64">
        <v>1.6178399999999999E-2</v>
      </c>
      <c r="F64">
        <v>2.1850499999999999</v>
      </c>
      <c r="G64">
        <v>0.28972019799999998</v>
      </c>
      <c r="H64">
        <v>10.139568479999999</v>
      </c>
    </row>
    <row r="65" spans="1:8" x14ac:dyDescent="0.3">
      <c r="A65" t="s">
        <v>27</v>
      </c>
      <c r="B65" t="s">
        <v>42</v>
      </c>
      <c r="C65" t="s">
        <v>41</v>
      </c>
      <c r="D65">
        <v>0.75459317599999998</v>
      </c>
      <c r="E65">
        <v>0.56624399999999997</v>
      </c>
      <c r="F65">
        <v>119.8656</v>
      </c>
      <c r="G65">
        <v>0.19107679999999999</v>
      </c>
      <c r="H65">
        <v>1.3326290009999999</v>
      </c>
    </row>
    <row r="66" spans="1:8" x14ac:dyDescent="0.3">
      <c r="A66" t="s">
        <v>27</v>
      </c>
      <c r="B66" t="s">
        <v>43</v>
      </c>
      <c r="C66" t="s">
        <v>39</v>
      </c>
      <c r="D66">
        <v>4.9212598000000003E-2</v>
      </c>
      <c r="E66">
        <v>0.41659380000000001</v>
      </c>
      <c r="F66">
        <v>110.00166</v>
      </c>
      <c r="G66">
        <v>0.20063064</v>
      </c>
      <c r="H66">
        <v>0.118130895</v>
      </c>
    </row>
    <row r="67" spans="1:8" x14ac:dyDescent="0.3">
      <c r="A67" t="s">
        <v>28</v>
      </c>
      <c r="B67" t="s">
        <v>38</v>
      </c>
      <c r="C67" t="s">
        <v>39</v>
      </c>
      <c r="D67">
        <v>4.9212598000000003E-2</v>
      </c>
      <c r="E67">
        <v>0.41659380000000001</v>
      </c>
      <c r="F67">
        <v>110.00166</v>
      </c>
      <c r="G67">
        <v>0.20063064</v>
      </c>
      <c r="H67">
        <v>0.118130895</v>
      </c>
    </row>
    <row r="68" spans="1:8" x14ac:dyDescent="0.3">
      <c r="A68" t="s">
        <v>28</v>
      </c>
      <c r="B68" t="s">
        <v>40</v>
      </c>
      <c r="C68" t="s">
        <v>44</v>
      </c>
      <c r="D68">
        <v>8.2020996999999998E-2</v>
      </c>
      <c r="E68">
        <v>2.1956400000000001E-2</v>
      </c>
      <c r="F68">
        <v>1.74804</v>
      </c>
      <c r="G68">
        <v>0.28972019799999998</v>
      </c>
      <c r="H68">
        <v>3.735630494</v>
      </c>
    </row>
    <row r="69" spans="1:8" x14ac:dyDescent="0.3">
      <c r="A69" t="s">
        <v>28</v>
      </c>
      <c r="B69" t="s">
        <v>42</v>
      </c>
      <c r="C69" t="s">
        <v>41</v>
      </c>
      <c r="D69">
        <v>0.75459317599999998</v>
      </c>
      <c r="E69">
        <v>0.56624399999999997</v>
      </c>
      <c r="F69">
        <v>119.8656</v>
      </c>
      <c r="G69">
        <v>0.19107679999999999</v>
      </c>
      <c r="H69">
        <v>1.3326290009999999</v>
      </c>
    </row>
    <row r="70" spans="1:8" x14ac:dyDescent="0.3">
      <c r="A70" t="s">
        <v>28</v>
      </c>
      <c r="B70" t="s">
        <v>43</v>
      </c>
      <c r="C70" t="s">
        <v>39</v>
      </c>
      <c r="D70">
        <v>4.9212598000000003E-2</v>
      </c>
      <c r="E70">
        <v>0.41659380000000001</v>
      </c>
      <c r="F70">
        <v>110.00166</v>
      </c>
      <c r="G70">
        <v>0.20063064</v>
      </c>
      <c r="H70">
        <v>0.118130895</v>
      </c>
    </row>
    <row r="71" spans="1:8" x14ac:dyDescent="0.3">
      <c r="A71" t="s">
        <v>29</v>
      </c>
      <c r="B71" t="s">
        <v>38</v>
      </c>
      <c r="C71" t="s">
        <v>39</v>
      </c>
      <c r="D71">
        <v>4.9212598000000003E-2</v>
      </c>
      <c r="E71">
        <v>0.41659380000000001</v>
      </c>
      <c r="F71">
        <v>110.00166</v>
      </c>
      <c r="G71">
        <v>0.20063064</v>
      </c>
      <c r="H71">
        <v>0.118130895</v>
      </c>
    </row>
    <row r="72" spans="1:8" x14ac:dyDescent="0.3">
      <c r="A72" t="s">
        <v>29</v>
      </c>
      <c r="B72" t="s">
        <v>40</v>
      </c>
      <c r="C72" t="s">
        <v>44</v>
      </c>
      <c r="D72">
        <v>0.164041995</v>
      </c>
      <c r="E72">
        <v>2.1956400000000001E-2</v>
      </c>
      <c r="F72">
        <v>1.74804</v>
      </c>
      <c r="G72">
        <v>0.28972019799999998</v>
      </c>
      <c r="H72">
        <v>7.471260988</v>
      </c>
    </row>
    <row r="73" spans="1:8" x14ac:dyDescent="0.3">
      <c r="A73" t="s">
        <v>29</v>
      </c>
      <c r="B73" t="s">
        <v>42</v>
      </c>
      <c r="C73" t="s">
        <v>41</v>
      </c>
      <c r="D73">
        <v>0.75459317599999998</v>
      </c>
      <c r="E73">
        <v>0.56624399999999997</v>
      </c>
      <c r="F73">
        <v>119.8656</v>
      </c>
      <c r="G73">
        <v>0.19107679999999999</v>
      </c>
      <c r="H73">
        <v>1.3326290009999999</v>
      </c>
    </row>
    <row r="74" spans="1:8" x14ac:dyDescent="0.3">
      <c r="A74" t="s">
        <v>29</v>
      </c>
      <c r="B74" t="s">
        <v>43</v>
      </c>
      <c r="C74" t="s">
        <v>39</v>
      </c>
      <c r="D74">
        <v>4.9212598000000003E-2</v>
      </c>
      <c r="E74">
        <v>0.41659380000000001</v>
      </c>
      <c r="F74">
        <v>110.00166</v>
      </c>
      <c r="G74">
        <v>0.20063064</v>
      </c>
      <c r="H74">
        <v>0.118130895</v>
      </c>
    </row>
    <row r="75" spans="1:8" x14ac:dyDescent="0.3">
      <c r="A75" t="s">
        <v>30</v>
      </c>
      <c r="B75" t="s">
        <v>38</v>
      </c>
      <c r="C75" t="s">
        <v>39</v>
      </c>
      <c r="D75">
        <v>4.9212598000000003E-2</v>
      </c>
      <c r="E75">
        <v>0.41659380000000001</v>
      </c>
      <c r="F75">
        <v>110.00166</v>
      </c>
      <c r="G75">
        <v>0.20063064</v>
      </c>
      <c r="H75">
        <v>0.118130895</v>
      </c>
    </row>
    <row r="76" spans="1:8" x14ac:dyDescent="0.3">
      <c r="A76" t="s">
        <v>30</v>
      </c>
      <c r="B76" t="s">
        <v>40</v>
      </c>
      <c r="C76" t="s">
        <v>49</v>
      </c>
      <c r="D76">
        <v>0.65616797900000001</v>
      </c>
      <c r="E76">
        <v>0.91292399999999996</v>
      </c>
      <c r="F76">
        <v>142.83984000000001</v>
      </c>
      <c r="G76">
        <v>0.21018448000000001</v>
      </c>
      <c r="H76">
        <v>0.71875422200000005</v>
      </c>
    </row>
    <row r="77" spans="1:8" x14ac:dyDescent="0.3">
      <c r="A77" t="s">
        <v>30</v>
      </c>
      <c r="B77" t="s">
        <v>42</v>
      </c>
      <c r="C77" t="s">
        <v>39</v>
      </c>
      <c r="D77">
        <v>4.9212598000000003E-2</v>
      </c>
      <c r="E77">
        <v>0.41659380000000001</v>
      </c>
      <c r="F77">
        <v>110.00166</v>
      </c>
      <c r="G77">
        <v>0.20063064</v>
      </c>
      <c r="H77">
        <v>0.118130895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6FCA-609F-41F7-88A7-A95B7ECCBA6C}">
  <dimension ref="A1:P27"/>
  <sheetViews>
    <sheetView workbookViewId="0">
      <selection activeCell="N11" sqref="N11"/>
    </sheetView>
  </sheetViews>
  <sheetFormatPr defaultRowHeight="14.4" x14ac:dyDescent="0.3"/>
  <cols>
    <col min="1" max="1" width="30.109375" bestFit="1" customWidth="1"/>
    <col min="3" max="3" width="7.6640625" bestFit="1" customWidth="1"/>
    <col min="4" max="4" width="7.5546875" bestFit="1" customWidth="1"/>
    <col min="5" max="5" width="14.33203125" bestFit="1" customWidth="1"/>
    <col min="6" max="6" width="16.21875" bestFit="1" customWidth="1"/>
    <col min="7" max="8" width="14.33203125" customWidth="1"/>
    <col min="9" max="9" width="14.33203125" bestFit="1" customWidth="1"/>
    <col min="10" max="12" width="14.33203125" customWidth="1"/>
    <col min="13" max="13" width="14.33203125" bestFit="1" customWidth="1"/>
    <col min="14" max="14" width="16.21875" bestFit="1" customWidth="1"/>
    <col min="15" max="15" width="12.44140625" bestFit="1" customWidth="1"/>
    <col min="16" max="16" width="13.33203125" bestFit="1" customWidth="1"/>
  </cols>
  <sheetData>
    <row r="1" spans="1:16" x14ac:dyDescent="0.3">
      <c r="A1" t="s">
        <v>10</v>
      </c>
      <c r="B1" t="s">
        <v>62</v>
      </c>
      <c r="C1" t="s">
        <v>63</v>
      </c>
      <c r="D1" t="s">
        <v>64</v>
      </c>
      <c r="E1" t="s">
        <v>66</v>
      </c>
      <c r="F1" t="s">
        <v>70</v>
      </c>
      <c r="G1" t="s">
        <v>74</v>
      </c>
      <c r="H1" t="s">
        <v>78</v>
      </c>
      <c r="I1" t="s">
        <v>67</v>
      </c>
      <c r="J1" t="s">
        <v>71</v>
      </c>
      <c r="K1" t="s">
        <v>75</v>
      </c>
      <c r="L1" t="s">
        <v>79</v>
      </c>
      <c r="M1" t="s">
        <v>68</v>
      </c>
      <c r="N1" t="s">
        <v>72</v>
      </c>
      <c r="O1" t="s">
        <v>76</v>
      </c>
      <c r="P1" t="s">
        <v>80</v>
      </c>
    </row>
    <row r="2" spans="1:16" x14ac:dyDescent="0.3">
      <c r="A2" s="8" t="s">
        <v>11</v>
      </c>
      <c r="B2" t="s">
        <v>39</v>
      </c>
      <c r="C2" t="s">
        <v>82</v>
      </c>
      <c r="D2" t="s">
        <v>9</v>
      </c>
      <c r="E2" s="4">
        <f>CONVERT(15,"mm","ft")</f>
        <v>4.9212598425196853E-2</v>
      </c>
      <c r="F2" s="1">
        <f>0.72*5.678263243</f>
        <v>4.0883495349599999</v>
      </c>
      <c r="G2" s="1">
        <f>1762*0.062427961</f>
        <v>109.99806728199999</v>
      </c>
      <c r="H2" s="1">
        <f>840* 0.000239005736</f>
        <v>0.20076481824</v>
      </c>
      <c r="I2" s="4">
        <f>CONVERT(230,"mm","ft")</f>
        <v>0.75459317585301833</v>
      </c>
      <c r="J2" s="1">
        <f>0.98*5.678263243</f>
        <v>5.5646979781399999</v>
      </c>
      <c r="K2" s="1">
        <f>1920*0.062427961</f>
        <v>119.86168511999999</v>
      </c>
      <c r="L2" s="2">
        <f>800* 0.000239005736</f>
        <v>0.19120458879999999</v>
      </c>
      <c r="M2" s="2">
        <v>5.7003991900000002E-3</v>
      </c>
      <c r="N2" s="1">
        <v>1.6E-2</v>
      </c>
      <c r="O2">
        <v>2.1800000000000002</v>
      </c>
      <c r="P2">
        <v>0.28999999999999998</v>
      </c>
    </row>
    <row r="3" spans="1:16" x14ac:dyDescent="0.3">
      <c r="A3" s="8" t="s">
        <v>12</v>
      </c>
      <c r="B3" t="s">
        <v>39</v>
      </c>
      <c r="C3" t="s">
        <v>82</v>
      </c>
      <c r="D3" t="s">
        <v>9</v>
      </c>
      <c r="E3" s="1">
        <f>CONVERT(20,"mm","ft")</f>
        <v>6.5616797900262466E-2</v>
      </c>
      <c r="F3" s="1">
        <f t="shared" ref="F3:F14" si="0">0.72*5.678263243</f>
        <v>4.0883495349599999</v>
      </c>
      <c r="G3" s="1">
        <f t="shared" ref="G3:G14" si="1">1762*0.062427961</f>
        <v>109.99806728199999</v>
      </c>
      <c r="H3" s="1">
        <f t="shared" ref="H3:H14" si="2">840* 0.000239005736</f>
        <v>0.20076481824</v>
      </c>
      <c r="I3" s="1">
        <f>CONVERT(10,"mm","ft")</f>
        <v>3.2808398950131233E-2</v>
      </c>
      <c r="J3" s="1">
        <f>0.03*5.678263243</f>
        <v>0.17034789728999999</v>
      </c>
      <c r="K3" s="5">
        <f>35*0.062427961</f>
        <v>2.1849786349999998</v>
      </c>
      <c r="L3" s="2">
        <f>1213* 0.000239005736</f>
        <v>0.289913957768</v>
      </c>
      <c r="M3" s="2">
        <v>1.3789399190000001E-2</v>
      </c>
      <c r="N3" s="1">
        <v>1.6E-2</v>
      </c>
      <c r="O3">
        <v>2.1800000000000002</v>
      </c>
      <c r="P3">
        <v>0.28999999999999998</v>
      </c>
    </row>
    <row r="4" spans="1:16" x14ac:dyDescent="0.3">
      <c r="A4" s="8" t="s">
        <v>13</v>
      </c>
      <c r="B4" t="s">
        <v>39</v>
      </c>
      <c r="C4" t="s">
        <v>82</v>
      </c>
      <c r="D4" t="s">
        <v>9</v>
      </c>
      <c r="E4" s="1">
        <f t="shared" ref="E4:E14" si="3">CONVERT(20,"mm","ft")</f>
        <v>6.5616797900262466E-2</v>
      </c>
      <c r="F4" s="1">
        <f t="shared" si="0"/>
        <v>4.0883495349599999</v>
      </c>
      <c r="G4" s="1">
        <f t="shared" si="1"/>
        <v>109.99806728199999</v>
      </c>
      <c r="H4" s="1">
        <f t="shared" si="2"/>
        <v>0.20076481824</v>
      </c>
      <c r="I4" s="1">
        <f>CONVERT(10,"mm","ft")</f>
        <v>3.2808398950131233E-2</v>
      </c>
      <c r="J4" s="1">
        <f t="shared" ref="J4:J5" si="4">0.03*5.678263243</f>
        <v>0.17034789728999999</v>
      </c>
      <c r="K4" s="5">
        <f t="shared" ref="K4" si="5">35*0.062427961</f>
        <v>2.1849786349999998</v>
      </c>
      <c r="L4" s="2">
        <f t="shared" ref="L4:L6" si="6">1213* 0.000239005736</f>
        <v>0.289913957768</v>
      </c>
      <c r="M4" s="2">
        <v>5.4234399190000004E-2</v>
      </c>
      <c r="N4" s="1">
        <v>1.6E-2</v>
      </c>
      <c r="O4">
        <v>2.1800000000000002</v>
      </c>
      <c r="P4">
        <v>0.28999999999999998</v>
      </c>
    </row>
    <row r="5" spans="1:16" x14ac:dyDescent="0.3">
      <c r="A5" s="8" t="s">
        <v>14</v>
      </c>
      <c r="B5" t="s">
        <v>39</v>
      </c>
      <c r="C5" t="s">
        <v>82</v>
      </c>
      <c r="D5" t="s">
        <v>9</v>
      </c>
      <c r="E5" s="1">
        <f t="shared" si="3"/>
        <v>6.5616797900262466E-2</v>
      </c>
      <c r="F5" s="1">
        <f t="shared" si="0"/>
        <v>4.0883495349599999</v>
      </c>
      <c r="G5" s="1">
        <f t="shared" si="1"/>
        <v>109.99806728199999</v>
      </c>
      <c r="H5" s="1">
        <f t="shared" si="2"/>
        <v>0.20076481824</v>
      </c>
      <c r="I5" s="1">
        <f>CONVERT(30,"mm","ft")</f>
        <v>9.8425196850393706E-2</v>
      </c>
      <c r="J5" s="1">
        <f t="shared" si="4"/>
        <v>0.17034789728999999</v>
      </c>
      <c r="K5" s="5">
        <f>28*0.062427961</f>
        <v>1.747982908</v>
      </c>
      <c r="L5" s="2">
        <f t="shared" si="6"/>
        <v>0.289913957768</v>
      </c>
      <c r="M5" s="2">
        <v>9.4679399190000013E-2</v>
      </c>
      <c r="N5" s="1">
        <v>1.6E-2</v>
      </c>
      <c r="O5">
        <v>2.1800000000000002</v>
      </c>
      <c r="P5">
        <v>0.28999999999999998</v>
      </c>
    </row>
    <row r="6" spans="1:16" x14ac:dyDescent="0.3">
      <c r="A6" s="8" t="s">
        <v>15</v>
      </c>
      <c r="B6" t="s">
        <v>39</v>
      </c>
      <c r="C6" t="s">
        <v>82</v>
      </c>
      <c r="D6" t="s">
        <v>9</v>
      </c>
      <c r="E6" s="1">
        <f t="shared" si="3"/>
        <v>6.5616797900262466E-2</v>
      </c>
      <c r="F6" s="1">
        <f t="shared" si="0"/>
        <v>4.0883495349599999</v>
      </c>
      <c r="G6" s="1">
        <f t="shared" si="1"/>
        <v>109.99806728199999</v>
      </c>
      <c r="H6" s="1">
        <f t="shared" si="2"/>
        <v>0.20076481824</v>
      </c>
      <c r="I6" s="1">
        <f>CONVERT(50,"mm","ft")</f>
        <v>0.16404199475065617</v>
      </c>
      <c r="J6" s="1">
        <f>0.04*5.678263243</f>
        <v>0.22713052972</v>
      </c>
      <c r="K6" s="5">
        <f>28*0.062427961</f>
        <v>1.747982908</v>
      </c>
      <c r="L6" s="2">
        <f t="shared" si="6"/>
        <v>0.289913957768</v>
      </c>
      <c r="M6" s="2">
        <v>0.13512439918999999</v>
      </c>
      <c r="N6" s="1">
        <v>1.6E-2</v>
      </c>
      <c r="O6">
        <v>2.1800000000000002</v>
      </c>
      <c r="P6">
        <v>0.28999999999999998</v>
      </c>
    </row>
    <row r="7" spans="1:16" x14ac:dyDescent="0.3">
      <c r="A7" s="8" t="s">
        <v>16</v>
      </c>
      <c r="B7" t="s">
        <v>39</v>
      </c>
      <c r="C7" t="s">
        <v>82</v>
      </c>
      <c r="D7" t="s">
        <v>9</v>
      </c>
      <c r="E7" s="1">
        <f t="shared" si="3"/>
        <v>6.5616797900262466E-2</v>
      </c>
      <c r="F7" s="1">
        <f t="shared" si="0"/>
        <v>4.0883495349599999</v>
      </c>
      <c r="G7" s="1">
        <f t="shared" si="1"/>
        <v>109.99806728199999</v>
      </c>
      <c r="H7" s="1">
        <f t="shared" si="2"/>
        <v>0.20076481824</v>
      </c>
      <c r="I7" s="1">
        <f>CONVERT(200,"mm","ft")</f>
        <v>0.65616797900262469</v>
      </c>
      <c r="J7" s="1">
        <f>0.18*5.678263243</f>
        <v>1.02208738374</v>
      </c>
      <c r="K7" s="5">
        <f>642*0.062427961</f>
        <v>40.078750962000001</v>
      </c>
      <c r="L7" s="2">
        <f>1240* 0.000239005736</f>
        <v>0.29636711263999999</v>
      </c>
      <c r="M7" s="2">
        <v>0.17556939919</v>
      </c>
      <c r="N7" s="1">
        <v>1.6E-2</v>
      </c>
      <c r="O7">
        <v>2.1800000000000002</v>
      </c>
      <c r="P7">
        <v>0.28999999999999998</v>
      </c>
    </row>
    <row r="8" spans="1:16" x14ac:dyDescent="0.3">
      <c r="A8" s="8" t="s">
        <v>17</v>
      </c>
      <c r="B8" t="s">
        <v>39</v>
      </c>
      <c r="C8" t="s">
        <v>82</v>
      </c>
      <c r="D8" t="s">
        <v>9</v>
      </c>
      <c r="E8" s="1">
        <f t="shared" si="3"/>
        <v>6.5616797900262466E-2</v>
      </c>
      <c r="F8" s="1">
        <f t="shared" si="0"/>
        <v>4.0883495349599999</v>
      </c>
      <c r="G8" s="1">
        <f t="shared" si="1"/>
        <v>109.99806728199999</v>
      </c>
      <c r="H8" s="1">
        <f t="shared" si="2"/>
        <v>0.20076481824</v>
      </c>
      <c r="I8" s="1">
        <f>CONVERT(30,"mm","ft")</f>
        <v>9.8425196850393706E-2</v>
      </c>
      <c r="J8" s="1">
        <f>0.04*5.678263243</f>
        <v>0.22713052972</v>
      </c>
      <c r="K8" s="5">
        <f t="shared" ref="K8:K9" si="7">28*0.062427961</f>
        <v>1.747982908</v>
      </c>
      <c r="L8" s="2">
        <f>1213* 0.000239005736</f>
        <v>0.289913957768</v>
      </c>
      <c r="M8" s="2">
        <v>0.21601439919000001</v>
      </c>
      <c r="N8" s="1">
        <v>1.6E-2</v>
      </c>
      <c r="O8">
        <v>2.1800000000000002</v>
      </c>
      <c r="P8">
        <v>0.28999999999999998</v>
      </c>
    </row>
    <row r="9" spans="1:16" x14ac:dyDescent="0.3">
      <c r="A9" s="8" t="s">
        <v>18</v>
      </c>
      <c r="B9" t="s">
        <v>39</v>
      </c>
      <c r="C9" t="s">
        <v>82</v>
      </c>
      <c r="D9" t="s">
        <v>9</v>
      </c>
      <c r="E9" s="1">
        <f t="shared" si="3"/>
        <v>6.5616797900262466E-2</v>
      </c>
      <c r="F9" s="1">
        <f t="shared" si="0"/>
        <v>4.0883495349599999</v>
      </c>
      <c r="G9" s="1">
        <f t="shared" si="1"/>
        <v>109.99806728199999</v>
      </c>
      <c r="H9" s="1">
        <f t="shared" si="2"/>
        <v>0.20076481824</v>
      </c>
      <c r="I9" s="1">
        <f>CONVERT(50,"mm","ft")</f>
        <v>0.16404199475065617</v>
      </c>
      <c r="J9" s="1">
        <f t="shared" ref="J9" si="8">0.04*5.678263243</f>
        <v>0.22713052972</v>
      </c>
      <c r="K9" s="5">
        <f t="shared" si="7"/>
        <v>1.747982908</v>
      </c>
      <c r="L9" s="2">
        <f>1213* 0.000239005736</f>
        <v>0.289913957768</v>
      </c>
      <c r="M9" s="2">
        <v>0.25645939918999999</v>
      </c>
      <c r="N9" s="1">
        <v>1.6E-2</v>
      </c>
      <c r="O9">
        <v>2.1800000000000002</v>
      </c>
      <c r="P9">
        <v>0.28999999999999998</v>
      </c>
    </row>
    <row r="10" spans="1:16" x14ac:dyDescent="0.3">
      <c r="A10" s="8" t="s">
        <v>19</v>
      </c>
      <c r="B10" t="s">
        <v>39</v>
      </c>
      <c r="C10" t="s">
        <v>82</v>
      </c>
      <c r="D10" t="s">
        <v>9</v>
      </c>
      <c r="E10" s="1">
        <f t="shared" si="3"/>
        <v>6.5616797900262466E-2</v>
      </c>
      <c r="F10" s="1">
        <f t="shared" si="0"/>
        <v>4.0883495349599999</v>
      </c>
      <c r="G10" s="1">
        <f t="shared" si="1"/>
        <v>109.99806728199999</v>
      </c>
      <c r="H10" s="1">
        <f t="shared" si="2"/>
        <v>0.20076481824</v>
      </c>
      <c r="I10" s="1">
        <f>CONVERT(50,"mm","ft")</f>
        <v>0.16404199475065617</v>
      </c>
      <c r="J10" s="1">
        <f>0.03*5.678263243</f>
        <v>0.17034789728999999</v>
      </c>
      <c r="K10" s="5">
        <f>40*0.062427961</f>
        <v>2.4971184399999999</v>
      </c>
      <c r="L10" s="2">
        <f>1590* 0.000239005736</f>
        <v>0.38001912024000001</v>
      </c>
      <c r="M10" s="2">
        <v>0.29690439919</v>
      </c>
      <c r="N10" s="1">
        <v>1.6E-2</v>
      </c>
      <c r="O10">
        <v>2.1800000000000002</v>
      </c>
      <c r="P10">
        <v>0.28999999999999998</v>
      </c>
    </row>
    <row r="11" spans="1:16" x14ac:dyDescent="0.3">
      <c r="A11" s="8" t="s">
        <v>20</v>
      </c>
      <c r="B11" t="s">
        <v>39</v>
      </c>
      <c r="C11" t="s">
        <v>82</v>
      </c>
      <c r="D11" t="s">
        <v>9</v>
      </c>
      <c r="E11" s="1">
        <f t="shared" si="3"/>
        <v>6.5616797900262466E-2</v>
      </c>
      <c r="F11" s="1">
        <f t="shared" si="0"/>
        <v>4.0883495349599999</v>
      </c>
      <c r="G11" s="1">
        <f t="shared" si="1"/>
        <v>109.99806728199999</v>
      </c>
      <c r="H11" s="1">
        <f t="shared" si="2"/>
        <v>0.20076481824</v>
      </c>
      <c r="I11" s="1">
        <f>CONVERT(30,"mm","ft")</f>
        <v>9.8425196850393706E-2</v>
      </c>
      <c r="J11" s="1">
        <f>0.03*5.678263243</f>
        <v>0.17034789728999999</v>
      </c>
      <c r="K11" s="5">
        <f>40*0.062427961</f>
        <v>2.4971184399999999</v>
      </c>
      <c r="L11" s="2">
        <f>1590* 0.000239005736</f>
        <v>0.38001912024000001</v>
      </c>
      <c r="M11" s="2">
        <v>0.33734939919000001</v>
      </c>
      <c r="N11" s="1">
        <v>1.6E-2</v>
      </c>
      <c r="O11">
        <v>2.1800000000000002</v>
      </c>
      <c r="P11">
        <v>0.28999999999999998</v>
      </c>
    </row>
    <row r="12" spans="1:16" x14ac:dyDescent="0.3">
      <c r="A12" s="8" t="s">
        <v>21</v>
      </c>
      <c r="B12" t="s">
        <v>39</v>
      </c>
      <c r="C12" t="s">
        <v>82</v>
      </c>
      <c r="D12" t="s">
        <v>9</v>
      </c>
      <c r="E12" s="1">
        <f t="shared" si="3"/>
        <v>6.5616797900262466E-2</v>
      </c>
      <c r="F12" s="1">
        <f t="shared" si="0"/>
        <v>4.0883495349599999</v>
      </c>
      <c r="G12" s="1">
        <f t="shared" si="1"/>
        <v>109.99806728199999</v>
      </c>
      <c r="H12" s="1">
        <f t="shared" si="2"/>
        <v>0.20076481824</v>
      </c>
      <c r="I12" s="1">
        <f>CONVERT(50,"mm","ft")</f>
        <v>0.16404199475065617</v>
      </c>
      <c r="J12" s="1">
        <f>0.03*5.678263243</f>
        <v>0.17034789728999999</v>
      </c>
      <c r="K12" s="5">
        <f>40*0.062427961</f>
        <v>2.4971184399999999</v>
      </c>
      <c r="L12" s="2">
        <f>1590* 0.000239005736</f>
        <v>0.38001912024000001</v>
      </c>
      <c r="M12" s="2">
        <v>0.37779439919000002</v>
      </c>
      <c r="N12" s="1">
        <v>1.6E-2</v>
      </c>
      <c r="O12">
        <v>2.1800000000000002</v>
      </c>
      <c r="P12">
        <v>0.28999999999999998</v>
      </c>
    </row>
    <row r="13" spans="1:16" x14ac:dyDescent="0.3">
      <c r="A13" s="8" t="s">
        <v>22</v>
      </c>
      <c r="B13" t="s">
        <v>39</v>
      </c>
      <c r="C13" t="s">
        <v>82</v>
      </c>
      <c r="D13" t="s">
        <v>9</v>
      </c>
      <c r="E13" s="1">
        <f t="shared" si="3"/>
        <v>6.5616797900262466E-2</v>
      </c>
      <c r="F13" s="1">
        <f t="shared" si="0"/>
        <v>4.0883495349599999</v>
      </c>
      <c r="G13" s="1">
        <f t="shared" si="1"/>
        <v>109.99806728199999</v>
      </c>
      <c r="H13" s="1">
        <f t="shared" si="2"/>
        <v>0.20076481824</v>
      </c>
      <c r="I13" s="1">
        <f>CONVERT(200,"mm","ft")</f>
        <v>0.65616797900262469</v>
      </c>
      <c r="J13" s="1">
        <f>1.14*5.678263243</f>
        <v>6.4732200970199996</v>
      </c>
      <c r="K13" s="5">
        <f>2349*0.062427961</f>
        <v>146.64328038899998</v>
      </c>
      <c r="L13" s="2">
        <f>800* 0.000239005736</f>
        <v>0.19120458879999999</v>
      </c>
      <c r="M13" s="2">
        <v>0.41823939919000003</v>
      </c>
      <c r="N13" s="1">
        <v>1.6E-2</v>
      </c>
      <c r="O13">
        <v>2.1800000000000002</v>
      </c>
      <c r="P13">
        <v>0.28999999999999998</v>
      </c>
    </row>
    <row r="14" spans="1:16" x14ac:dyDescent="0.3">
      <c r="A14" s="8" t="s">
        <v>23</v>
      </c>
      <c r="B14" t="s">
        <v>39</v>
      </c>
      <c r="C14" t="s">
        <v>82</v>
      </c>
      <c r="D14" t="s">
        <v>9</v>
      </c>
      <c r="E14" s="1">
        <f t="shared" si="3"/>
        <v>6.5616797900262466E-2</v>
      </c>
      <c r="F14" s="1">
        <f t="shared" si="0"/>
        <v>4.0883495349599999</v>
      </c>
      <c r="G14" s="1">
        <f t="shared" si="1"/>
        <v>109.99806728199999</v>
      </c>
      <c r="H14" s="1">
        <f t="shared" si="2"/>
        <v>0.20076481824</v>
      </c>
      <c r="I14" s="1">
        <f>CONVERT(200,"mm","ft")</f>
        <v>0.65616797900262469</v>
      </c>
      <c r="J14" s="1">
        <f>0.03*5.678263243</f>
        <v>0.17034789728999999</v>
      </c>
      <c r="K14" s="5">
        <f>35*0.062427961</f>
        <v>2.1849786349999998</v>
      </c>
      <c r="L14" s="2">
        <f>1213* 0.000239005736</f>
        <v>0.289913957768</v>
      </c>
      <c r="M14" s="2">
        <v>0.45868439919000004</v>
      </c>
      <c r="N14" s="1">
        <v>1.6E-2</v>
      </c>
      <c r="O14">
        <v>2.1800000000000002</v>
      </c>
      <c r="P14">
        <v>0.28999999999999998</v>
      </c>
    </row>
    <row r="15" spans="1:16" x14ac:dyDescent="0.3">
      <c r="A15" s="8" t="s">
        <v>11</v>
      </c>
      <c r="B15" t="s">
        <v>93</v>
      </c>
      <c r="C15" t="s">
        <v>94</v>
      </c>
      <c r="D15" t="s">
        <v>9</v>
      </c>
      <c r="E15" s="1">
        <f>CONVERT(20,"mm","ft")</f>
        <v>6.5616797900262466E-2</v>
      </c>
      <c r="F15">
        <v>0.32900000000000001</v>
      </c>
      <c r="G15">
        <v>118.617</v>
      </c>
      <c r="H15">
        <v>0.23799999999999999</v>
      </c>
      <c r="I15">
        <v>4.9000000000000002E-2</v>
      </c>
      <c r="J15">
        <v>9.1999999999999998E-2</v>
      </c>
      <c r="K15">
        <v>39.955199999999998</v>
      </c>
      <c r="L15">
        <v>0.27</v>
      </c>
      <c r="M15" s="2">
        <v>5.7000000000000002E-3</v>
      </c>
      <c r="N15" s="1">
        <v>1.6E-2</v>
      </c>
      <c r="O15">
        <v>2.1800000000000002</v>
      </c>
      <c r="P15">
        <v>0.28999999999999998</v>
      </c>
    </row>
    <row r="16" spans="1:16" x14ac:dyDescent="0.3">
      <c r="A16" s="8" t="s">
        <v>12</v>
      </c>
      <c r="B16" t="s">
        <v>93</v>
      </c>
      <c r="C16" t="s">
        <v>94</v>
      </c>
      <c r="D16" t="s">
        <v>9</v>
      </c>
      <c r="E16" s="1">
        <v>6.5199999999999994E-2</v>
      </c>
      <c r="F16">
        <v>0.32900000000000001</v>
      </c>
      <c r="G16">
        <v>118.617</v>
      </c>
      <c r="H16">
        <v>0.23799999999999999</v>
      </c>
      <c r="I16">
        <v>4.9000000000000002E-2</v>
      </c>
      <c r="J16">
        <v>9.1999999999999998E-2</v>
      </c>
      <c r="K16">
        <v>39.955199999999998</v>
      </c>
      <c r="L16">
        <v>0.27</v>
      </c>
      <c r="M16" s="2">
        <v>2.860980659961547E-2</v>
      </c>
      <c r="N16" s="1">
        <v>1.6E-2</v>
      </c>
      <c r="O16">
        <v>2.1800000000000002</v>
      </c>
      <c r="P16">
        <v>0.28999999999999998</v>
      </c>
    </row>
    <row r="17" spans="1:16" x14ac:dyDescent="0.3">
      <c r="A17" s="8" t="s">
        <v>13</v>
      </c>
      <c r="B17" t="s">
        <v>93</v>
      </c>
      <c r="C17" t="s">
        <v>94</v>
      </c>
      <c r="D17" t="s">
        <v>9</v>
      </c>
      <c r="E17" s="1">
        <v>6.5199999999999994E-2</v>
      </c>
      <c r="F17">
        <v>0.32900000000000001</v>
      </c>
      <c r="G17">
        <v>118.617</v>
      </c>
      <c r="H17">
        <v>0.23799999999999999</v>
      </c>
      <c r="I17">
        <v>4.9000000000000002E-2</v>
      </c>
      <c r="J17">
        <v>9.1999999999999998E-2</v>
      </c>
      <c r="K17">
        <v>39.955199999999998</v>
      </c>
      <c r="L17">
        <v>0.27</v>
      </c>
      <c r="M17" s="2">
        <v>6.9054806599615465E-2</v>
      </c>
      <c r="N17" s="1">
        <v>1.6E-2</v>
      </c>
      <c r="O17">
        <v>2.1800000000000002</v>
      </c>
      <c r="P17">
        <v>0.28999999999999998</v>
      </c>
    </row>
    <row r="18" spans="1:16" x14ac:dyDescent="0.3">
      <c r="A18" s="8" t="s">
        <v>14</v>
      </c>
      <c r="B18" t="s">
        <v>93</v>
      </c>
      <c r="C18" t="s">
        <v>94</v>
      </c>
      <c r="D18" t="s">
        <v>9</v>
      </c>
      <c r="E18" s="1">
        <v>6.5199999999999994E-2</v>
      </c>
      <c r="F18">
        <v>0.32900000000000001</v>
      </c>
      <c r="G18">
        <v>118.617</v>
      </c>
      <c r="H18">
        <v>0.23799999999999999</v>
      </c>
      <c r="I18">
        <v>4.9000000000000002E-2</v>
      </c>
      <c r="J18">
        <v>9.1999999999999998E-2</v>
      </c>
      <c r="K18">
        <v>39.955199999999998</v>
      </c>
      <c r="L18">
        <v>0.27</v>
      </c>
      <c r="M18" s="2">
        <v>0.10949980659961547</v>
      </c>
      <c r="N18" s="1">
        <v>1.6E-2</v>
      </c>
      <c r="O18">
        <v>2.1800000000000002</v>
      </c>
      <c r="P18">
        <v>0.28999999999999998</v>
      </c>
    </row>
    <row r="19" spans="1:16" x14ac:dyDescent="0.3">
      <c r="A19" s="8" t="s">
        <v>15</v>
      </c>
      <c r="B19" t="s">
        <v>93</v>
      </c>
      <c r="C19" t="s">
        <v>94</v>
      </c>
      <c r="D19" t="s">
        <v>9</v>
      </c>
      <c r="E19" s="1">
        <v>6.5199999999999994E-2</v>
      </c>
      <c r="F19">
        <v>0.32900000000000001</v>
      </c>
      <c r="G19">
        <v>118.617</v>
      </c>
      <c r="H19">
        <v>0.23799999999999999</v>
      </c>
      <c r="I19">
        <v>4.9000000000000002E-2</v>
      </c>
      <c r="J19">
        <v>9.1999999999999998E-2</v>
      </c>
      <c r="K19">
        <v>39.955199999999998</v>
      </c>
      <c r="L19">
        <v>0.27</v>
      </c>
      <c r="M19" s="2">
        <v>0.14994480659961548</v>
      </c>
      <c r="N19" s="1">
        <v>1.6E-2</v>
      </c>
      <c r="O19">
        <v>2.1800000000000002</v>
      </c>
      <c r="P19">
        <v>0.28999999999999998</v>
      </c>
    </row>
    <row r="20" spans="1:16" x14ac:dyDescent="0.3">
      <c r="A20" s="8" t="s">
        <v>16</v>
      </c>
      <c r="B20" t="s">
        <v>93</v>
      </c>
      <c r="C20" t="s">
        <v>94</v>
      </c>
      <c r="D20" t="s">
        <v>9</v>
      </c>
      <c r="E20" s="1">
        <v>6.5199999999999994E-2</v>
      </c>
      <c r="F20">
        <v>0.32900000000000001</v>
      </c>
      <c r="G20">
        <v>118.617</v>
      </c>
      <c r="H20">
        <v>0.23799999999999999</v>
      </c>
      <c r="I20">
        <v>4.9000000000000002E-2</v>
      </c>
      <c r="J20">
        <v>9.1999999999999998E-2</v>
      </c>
      <c r="K20">
        <v>39.955199999999998</v>
      </c>
      <c r="L20">
        <v>0.27</v>
      </c>
      <c r="M20" s="2">
        <v>0.19038980659961549</v>
      </c>
      <c r="N20" s="1">
        <v>1.6E-2</v>
      </c>
      <c r="O20">
        <v>2.1800000000000002</v>
      </c>
      <c r="P20">
        <v>0.28999999999999998</v>
      </c>
    </row>
    <row r="21" spans="1:16" x14ac:dyDescent="0.3">
      <c r="A21" s="8" t="s">
        <v>17</v>
      </c>
      <c r="B21" t="s">
        <v>93</v>
      </c>
      <c r="C21" t="s">
        <v>94</v>
      </c>
      <c r="D21" t="s">
        <v>9</v>
      </c>
      <c r="E21" s="1">
        <v>6.5199999999999994E-2</v>
      </c>
      <c r="F21">
        <v>0.32900000000000001</v>
      </c>
      <c r="G21">
        <v>118.617</v>
      </c>
      <c r="H21">
        <v>0.23799999999999999</v>
      </c>
      <c r="I21">
        <v>4.9000000000000002E-2</v>
      </c>
      <c r="J21">
        <v>9.1999999999999998E-2</v>
      </c>
      <c r="K21">
        <v>39.955199999999998</v>
      </c>
      <c r="L21">
        <v>0.27</v>
      </c>
      <c r="M21" s="2">
        <v>0.2308348065996155</v>
      </c>
      <c r="N21" s="1">
        <v>1.6E-2</v>
      </c>
      <c r="O21">
        <v>2.1800000000000002</v>
      </c>
      <c r="P21">
        <v>0.28999999999999998</v>
      </c>
    </row>
    <row r="22" spans="1:16" x14ac:dyDescent="0.3">
      <c r="A22" s="8" t="s">
        <v>18</v>
      </c>
      <c r="B22" t="s">
        <v>93</v>
      </c>
      <c r="C22" t="s">
        <v>94</v>
      </c>
      <c r="D22" t="s">
        <v>9</v>
      </c>
      <c r="E22" s="1">
        <v>6.5199999999999994E-2</v>
      </c>
      <c r="F22">
        <v>0.32900000000000001</v>
      </c>
      <c r="G22">
        <v>118.617</v>
      </c>
      <c r="H22">
        <v>0.23799999999999999</v>
      </c>
      <c r="I22">
        <v>4.9000000000000002E-2</v>
      </c>
      <c r="J22">
        <v>9.1999999999999998E-2</v>
      </c>
      <c r="K22">
        <v>39.955199999999998</v>
      </c>
      <c r="L22">
        <v>0.27</v>
      </c>
      <c r="M22" s="2">
        <v>0.27127980659961548</v>
      </c>
      <c r="N22" s="1">
        <v>1.6E-2</v>
      </c>
      <c r="O22">
        <v>2.1800000000000002</v>
      </c>
      <c r="P22">
        <v>0.28999999999999998</v>
      </c>
    </row>
    <row r="23" spans="1:16" x14ac:dyDescent="0.3">
      <c r="A23" s="8" t="s">
        <v>19</v>
      </c>
      <c r="B23" t="s">
        <v>93</v>
      </c>
      <c r="C23" t="s">
        <v>94</v>
      </c>
      <c r="D23" t="s">
        <v>9</v>
      </c>
      <c r="E23" s="1">
        <v>6.5199999999999994E-2</v>
      </c>
      <c r="F23">
        <v>0.32900000000000001</v>
      </c>
      <c r="G23">
        <v>118.617</v>
      </c>
      <c r="H23">
        <v>0.23799999999999999</v>
      </c>
      <c r="I23">
        <v>4.9000000000000002E-2</v>
      </c>
      <c r="J23">
        <v>9.1999999999999998E-2</v>
      </c>
      <c r="K23">
        <v>39.955199999999998</v>
      </c>
      <c r="L23">
        <v>0.27</v>
      </c>
      <c r="M23" s="2">
        <v>0.31172480659961549</v>
      </c>
      <c r="N23" s="1">
        <v>1.6E-2</v>
      </c>
      <c r="O23">
        <v>2.1800000000000002</v>
      </c>
      <c r="P23">
        <v>0.28999999999999998</v>
      </c>
    </row>
    <row r="24" spans="1:16" x14ac:dyDescent="0.3">
      <c r="A24" s="8" t="s">
        <v>20</v>
      </c>
      <c r="B24" t="s">
        <v>93</v>
      </c>
      <c r="C24" t="s">
        <v>94</v>
      </c>
      <c r="D24" t="s">
        <v>9</v>
      </c>
      <c r="E24" s="1">
        <v>6.5199999999999994E-2</v>
      </c>
      <c r="F24">
        <v>0.32900000000000001</v>
      </c>
      <c r="G24">
        <v>118.617</v>
      </c>
      <c r="H24">
        <v>0.23799999999999999</v>
      </c>
      <c r="I24">
        <v>4.9000000000000002E-2</v>
      </c>
      <c r="J24">
        <v>9.1999999999999998E-2</v>
      </c>
      <c r="K24">
        <v>39.955199999999998</v>
      </c>
      <c r="L24">
        <v>0.27</v>
      </c>
      <c r="M24" s="2">
        <v>0.3521698065996155</v>
      </c>
      <c r="N24" s="1">
        <v>1.6E-2</v>
      </c>
      <c r="O24">
        <v>2.1800000000000002</v>
      </c>
      <c r="P24">
        <v>0.28999999999999998</v>
      </c>
    </row>
    <row r="25" spans="1:16" x14ac:dyDescent="0.3">
      <c r="A25" s="8" t="s">
        <v>21</v>
      </c>
      <c r="B25" t="s">
        <v>93</v>
      </c>
      <c r="C25" t="s">
        <v>94</v>
      </c>
      <c r="D25" t="s">
        <v>9</v>
      </c>
      <c r="E25" s="1">
        <v>6.5199999999999994E-2</v>
      </c>
      <c r="F25">
        <v>0.32900000000000001</v>
      </c>
      <c r="G25">
        <v>118.617</v>
      </c>
      <c r="H25">
        <v>0.23799999999999999</v>
      </c>
      <c r="I25">
        <v>4.9000000000000002E-2</v>
      </c>
      <c r="J25">
        <v>9.1999999999999998E-2</v>
      </c>
      <c r="K25">
        <v>39.955199999999998</v>
      </c>
      <c r="L25">
        <v>0.27</v>
      </c>
      <c r="M25" s="2">
        <v>0.39261480659961551</v>
      </c>
      <c r="N25" s="1">
        <v>1.6E-2</v>
      </c>
      <c r="O25">
        <v>2.1800000000000002</v>
      </c>
      <c r="P25">
        <v>0.28999999999999998</v>
      </c>
    </row>
    <row r="26" spans="1:16" x14ac:dyDescent="0.3">
      <c r="A26" s="8" t="s">
        <v>22</v>
      </c>
      <c r="B26" t="s">
        <v>93</v>
      </c>
      <c r="C26" t="s">
        <v>94</v>
      </c>
      <c r="D26" t="s">
        <v>9</v>
      </c>
      <c r="E26" s="1">
        <v>6.5199999999999994E-2</v>
      </c>
      <c r="F26">
        <v>0.32900000000000001</v>
      </c>
      <c r="G26">
        <v>118.617</v>
      </c>
      <c r="H26">
        <v>0.23799999999999999</v>
      </c>
      <c r="I26">
        <v>4.9000000000000002E-2</v>
      </c>
      <c r="J26">
        <v>9.1999999999999998E-2</v>
      </c>
      <c r="K26">
        <v>39.955199999999998</v>
      </c>
      <c r="L26">
        <v>0.27</v>
      </c>
      <c r="M26" s="2">
        <v>0.43305980659961546</v>
      </c>
      <c r="N26" s="1">
        <v>1.6E-2</v>
      </c>
      <c r="O26">
        <v>2.1800000000000002</v>
      </c>
      <c r="P26">
        <v>0.28999999999999998</v>
      </c>
    </row>
    <row r="27" spans="1:16" x14ac:dyDescent="0.3">
      <c r="A27" s="8" t="s">
        <v>23</v>
      </c>
      <c r="B27" t="s">
        <v>93</v>
      </c>
      <c r="C27" t="s">
        <v>94</v>
      </c>
      <c r="D27" t="s">
        <v>9</v>
      </c>
      <c r="E27" s="1">
        <v>6.5199999999999994E-2</v>
      </c>
      <c r="F27">
        <v>0.32900000000000001</v>
      </c>
      <c r="G27">
        <v>118.617</v>
      </c>
      <c r="H27">
        <v>0.23799999999999999</v>
      </c>
      <c r="I27">
        <v>4.9000000000000002E-2</v>
      </c>
      <c r="J27">
        <v>9.1999999999999998E-2</v>
      </c>
      <c r="K27">
        <v>39.955199999999998</v>
      </c>
      <c r="L27">
        <v>0.27</v>
      </c>
      <c r="M27" s="2">
        <v>0.47350480659961547</v>
      </c>
      <c r="N27" s="1">
        <v>1.6E-2</v>
      </c>
      <c r="O27">
        <v>2.1800000000000002</v>
      </c>
      <c r="P27">
        <v>0.28999999999999998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E318-71D8-40DE-A5D8-3E45996E6EA3}">
  <dimension ref="A1:B13"/>
  <sheetViews>
    <sheetView workbookViewId="0">
      <selection activeCell="M23" sqref="M23"/>
    </sheetView>
  </sheetViews>
  <sheetFormatPr defaultRowHeight="14.4" x14ac:dyDescent="0.3"/>
  <sheetData>
    <row r="1" spans="1:2" x14ac:dyDescent="0.3">
      <c r="A1" t="s">
        <v>4</v>
      </c>
      <c r="B1" t="s">
        <v>1</v>
      </c>
    </row>
    <row r="2" spans="1:2" x14ac:dyDescent="0.3">
      <c r="A2">
        <v>1</v>
      </c>
      <c r="B2">
        <v>2.5</v>
      </c>
    </row>
    <row r="3" spans="1:2" x14ac:dyDescent="0.3">
      <c r="A3">
        <v>2</v>
      </c>
      <c r="B3">
        <v>5</v>
      </c>
    </row>
    <row r="4" spans="1:2" x14ac:dyDescent="0.3">
      <c r="A4">
        <v>3</v>
      </c>
      <c r="B4">
        <f>B3+2.5</f>
        <v>7.5</v>
      </c>
    </row>
    <row r="5" spans="1:2" x14ac:dyDescent="0.3">
      <c r="A5">
        <v>4</v>
      </c>
      <c r="B5">
        <f t="shared" ref="B5:B13" si="0">B4+2.5</f>
        <v>10</v>
      </c>
    </row>
    <row r="6" spans="1:2" x14ac:dyDescent="0.3">
      <c r="A6">
        <v>5</v>
      </c>
      <c r="B6">
        <f t="shared" si="0"/>
        <v>12.5</v>
      </c>
    </row>
    <row r="7" spans="1:2" x14ac:dyDescent="0.3">
      <c r="A7">
        <v>6</v>
      </c>
      <c r="B7">
        <f t="shared" si="0"/>
        <v>15</v>
      </c>
    </row>
    <row r="8" spans="1:2" x14ac:dyDescent="0.3">
      <c r="A8">
        <v>7</v>
      </c>
      <c r="B8">
        <f t="shared" si="0"/>
        <v>17.5</v>
      </c>
    </row>
    <row r="9" spans="1:2" x14ac:dyDescent="0.3">
      <c r="A9">
        <v>8</v>
      </c>
      <c r="B9">
        <f t="shared" si="0"/>
        <v>20</v>
      </c>
    </row>
    <row r="10" spans="1:2" x14ac:dyDescent="0.3">
      <c r="A10">
        <v>9</v>
      </c>
      <c r="B10">
        <f t="shared" si="0"/>
        <v>22.5</v>
      </c>
    </row>
    <row r="11" spans="1:2" x14ac:dyDescent="0.3">
      <c r="A11">
        <v>10</v>
      </c>
      <c r="B11">
        <f t="shared" si="0"/>
        <v>25</v>
      </c>
    </row>
    <row r="12" spans="1:2" x14ac:dyDescent="0.3">
      <c r="A12">
        <v>11</v>
      </c>
      <c r="B12">
        <f t="shared" si="0"/>
        <v>27.5</v>
      </c>
    </row>
    <row r="13" spans="1:2" x14ac:dyDescent="0.3">
      <c r="A13">
        <v>12</v>
      </c>
      <c r="B13">
        <f t="shared" si="0"/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D0A7-8EE1-4751-8D99-5ECF9B5CFD63}">
  <dimension ref="A1:H65"/>
  <sheetViews>
    <sheetView tabSelected="1" workbookViewId="0">
      <selection activeCell="O14" sqref="O14"/>
    </sheetView>
  </sheetViews>
  <sheetFormatPr defaultRowHeight="14.4" x14ac:dyDescent="0.3"/>
  <cols>
    <col min="3" max="3" width="12.6640625" bestFit="1" customWidth="1"/>
  </cols>
  <sheetData>
    <row r="1" spans="1:8" x14ac:dyDescent="0.3">
      <c r="A1" t="s">
        <v>10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">
      <c r="A2" t="s">
        <v>30</v>
      </c>
      <c r="B2" t="s">
        <v>38</v>
      </c>
      <c r="C2" t="s">
        <v>39</v>
      </c>
      <c r="D2">
        <v>4.9212598000000003E-2</v>
      </c>
      <c r="E2">
        <v>0.41659380000000001</v>
      </c>
      <c r="F2">
        <v>110.00166</v>
      </c>
      <c r="G2">
        <v>0.20063064</v>
      </c>
      <c r="H2">
        <v>0.118130895</v>
      </c>
    </row>
    <row r="3" spans="1:8" x14ac:dyDescent="0.3">
      <c r="A3" t="s">
        <v>30</v>
      </c>
      <c r="B3" t="s">
        <v>40</v>
      </c>
      <c r="C3" t="s">
        <v>96</v>
      </c>
      <c r="D3">
        <v>0.24606299200000001</v>
      </c>
      <c r="E3">
        <v>0.46108440000000001</v>
      </c>
      <c r="F3">
        <v>118.11756</v>
      </c>
      <c r="G3">
        <v>0.21018448000000001</v>
      </c>
      <c r="H3">
        <v>0.53366149900000004</v>
      </c>
    </row>
    <row r="4" spans="1:8" x14ac:dyDescent="0.3">
      <c r="A4" t="s">
        <v>30</v>
      </c>
      <c r="B4" t="s">
        <v>42</v>
      </c>
      <c r="C4" t="s">
        <v>95</v>
      </c>
      <c r="D4">
        <v>0.49212598400000002</v>
      </c>
      <c r="E4">
        <v>0.91292399999999996</v>
      </c>
      <c r="F4">
        <v>142.83984000000001</v>
      </c>
      <c r="G4">
        <v>0.21018448000000001</v>
      </c>
      <c r="H4">
        <v>0.53906566600000005</v>
      </c>
    </row>
    <row r="5" spans="1:8" x14ac:dyDescent="0.3">
      <c r="A5" t="s">
        <v>30</v>
      </c>
      <c r="B5" t="s">
        <v>43</v>
      </c>
      <c r="C5" t="s">
        <v>39</v>
      </c>
      <c r="D5">
        <v>4.9212598000000003E-2</v>
      </c>
      <c r="E5">
        <v>0.41659380000000001</v>
      </c>
      <c r="F5">
        <v>110.00166</v>
      </c>
      <c r="G5">
        <v>0.20063064</v>
      </c>
      <c r="H5">
        <v>0.118130895</v>
      </c>
    </row>
    <row r="6" spans="1:8" x14ac:dyDescent="0.3">
      <c r="A6" t="s">
        <v>50</v>
      </c>
      <c r="B6" t="s">
        <v>38</v>
      </c>
      <c r="C6" t="s">
        <v>39</v>
      </c>
      <c r="D6">
        <v>4.9212598000000003E-2</v>
      </c>
      <c r="E6">
        <v>0.41659380000000001</v>
      </c>
      <c r="F6">
        <v>110.00166</v>
      </c>
      <c r="G6">
        <v>0.20063064</v>
      </c>
      <c r="H6">
        <v>0.118130895</v>
      </c>
    </row>
    <row r="7" spans="1:8" x14ac:dyDescent="0.3">
      <c r="A7" t="s">
        <v>50</v>
      </c>
      <c r="B7" t="s">
        <v>40</v>
      </c>
      <c r="C7" t="s">
        <v>96</v>
      </c>
      <c r="D7">
        <v>0.24606299200000001</v>
      </c>
      <c r="E7">
        <v>0.46108440000000001</v>
      </c>
      <c r="F7">
        <v>118.11756</v>
      </c>
      <c r="G7">
        <v>0.21018448000000001</v>
      </c>
      <c r="H7">
        <v>0.53366149900000004</v>
      </c>
    </row>
    <row r="8" spans="1:8" x14ac:dyDescent="0.3">
      <c r="A8" t="s">
        <v>50</v>
      </c>
      <c r="B8" t="s">
        <v>42</v>
      </c>
      <c r="C8" t="s">
        <v>46</v>
      </c>
      <c r="D8">
        <v>8.2020996999999998E-2</v>
      </c>
      <c r="E8">
        <v>1.5022799999999999E-2</v>
      </c>
      <c r="F8">
        <v>2.4971999999999999</v>
      </c>
      <c r="G8">
        <v>0.37976514</v>
      </c>
      <c r="H8">
        <v>5.4597676450000003</v>
      </c>
    </row>
    <row r="9" spans="1:8" x14ac:dyDescent="0.3">
      <c r="A9" t="s">
        <v>50</v>
      </c>
      <c r="B9" t="s">
        <v>43</v>
      </c>
      <c r="C9" t="s">
        <v>95</v>
      </c>
      <c r="D9">
        <v>0.49212598400000002</v>
      </c>
      <c r="E9">
        <v>0.91292399999999996</v>
      </c>
      <c r="F9">
        <v>142.83984000000001</v>
      </c>
      <c r="G9">
        <v>0.21018448000000001</v>
      </c>
      <c r="H9">
        <v>0.53906566600000005</v>
      </c>
    </row>
    <row r="10" spans="1:8" x14ac:dyDescent="0.3">
      <c r="A10" t="s">
        <v>50</v>
      </c>
      <c r="B10" t="s">
        <v>51</v>
      </c>
      <c r="C10" t="s">
        <v>39</v>
      </c>
      <c r="D10">
        <v>4.9212598000000003E-2</v>
      </c>
      <c r="E10">
        <v>0.41659380000000001</v>
      </c>
      <c r="F10">
        <v>110.00166</v>
      </c>
      <c r="G10">
        <v>0.20063064</v>
      </c>
      <c r="H10">
        <v>0.118130895</v>
      </c>
    </row>
    <row r="11" spans="1:8" x14ac:dyDescent="0.3">
      <c r="A11" t="s">
        <v>52</v>
      </c>
      <c r="B11" t="s">
        <v>38</v>
      </c>
      <c r="C11" t="s">
        <v>39</v>
      </c>
      <c r="D11">
        <v>4.9212598000000003E-2</v>
      </c>
      <c r="E11">
        <v>0.41659380000000001</v>
      </c>
      <c r="F11">
        <v>110.00166</v>
      </c>
      <c r="G11">
        <v>0.20063064</v>
      </c>
      <c r="H11">
        <v>0.118130895</v>
      </c>
    </row>
    <row r="12" spans="1:8" x14ac:dyDescent="0.3">
      <c r="A12" t="s">
        <v>52</v>
      </c>
      <c r="B12" t="s">
        <v>40</v>
      </c>
      <c r="C12" t="s">
        <v>96</v>
      </c>
      <c r="D12">
        <v>0.24606299200000001</v>
      </c>
      <c r="E12">
        <v>0.46108440000000001</v>
      </c>
      <c r="F12">
        <v>118.11756</v>
      </c>
      <c r="G12">
        <v>0.21018448000000001</v>
      </c>
      <c r="H12">
        <v>0.53366149900000004</v>
      </c>
    </row>
    <row r="13" spans="1:8" x14ac:dyDescent="0.3">
      <c r="A13" t="s">
        <v>52</v>
      </c>
      <c r="B13" t="s">
        <v>42</v>
      </c>
      <c r="C13" t="s">
        <v>46</v>
      </c>
      <c r="D13">
        <v>0.24606299200000001</v>
      </c>
      <c r="E13">
        <v>1.5022799999999999E-2</v>
      </c>
      <c r="F13">
        <v>2.4971999999999999</v>
      </c>
      <c r="G13">
        <v>0.37976514</v>
      </c>
      <c r="H13">
        <v>16.379302930000001</v>
      </c>
    </row>
    <row r="14" spans="1:8" x14ac:dyDescent="0.3">
      <c r="A14" t="s">
        <v>52</v>
      </c>
      <c r="B14" t="s">
        <v>43</v>
      </c>
      <c r="C14" t="s">
        <v>95</v>
      </c>
      <c r="D14">
        <v>0.49212598400000002</v>
      </c>
      <c r="E14">
        <v>0.91292399999999996</v>
      </c>
      <c r="F14">
        <v>142.83984000000001</v>
      </c>
      <c r="G14">
        <v>0.21018448000000001</v>
      </c>
      <c r="H14">
        <v>0.53906566600000005</v>
      </c>
    </row>
    <row r="15" spans="1:8" x14ac:dyDescent="0.3">
      <c r="A15" t="s">
        <v>52</v>
      </c>
      <c r="B15" t="s">
        <v>51</v>
      </c>
      <c r="C15" t="s">
        <v>39</v>
      </c>
      <c r="D15">
        <v>4.9212598000000003E-2</v>
      </c>
      <c r="E15">
        <v>0.41659380000000001</v>
      </c>
      <c r="F15">
        <v>110.00166</v>
      </c>
      <c r="G15">
        <v>0.20063064</v>
      </c>
      <c r="H15">
        <v>0.118130895</v>
      </c>
    </row>
    <row r="16" spans="1:8" x14ac:dyDescent="0.3">
      <c r="A16" t="s">
        <v>53</v>
      </c>
      <c r="B16" t="s">
        <v>38</v>
      </c>
      <c r="C16" t="s">
        <v>39</v>
      </c>
      <c r="D16">
        <v>4.9212598000000003E-2</v>
      </c>
      <c r="E16">
        <v>0.41659380000000001</v>
      </c>
      <c r="F16">
        <v>110.00166</v>
      </c>
      <c r="G16">
        <v>0.20063064</v>
      </c>
      <c r="H16">
        <v>0.118130895</v>
      </c>
    </row>
    <row r="17" spans="1:8" x14ac:dyDescent="0.3">
      <c r="A17" t="s">
        <v>53</v>
      </c>
      <c r="B17" t="s">
        <v>40</v>
      </c>
      <c r="C17" t="s">
        <v>96</v>
      </c>
      <c r="D17">
        <v>0.24606299200000001</v>
      </c>
      <c r="E17">
        <v>0.46108440000000001</v>
      </c>
      <c r="F17">
        <v>118.11756</v>
      </c>
      <c r="G17">
        <v>0.21018448000000001</v>
      </c>
      <c r="H17">
        <v>0.53366149900000004</v>
      </c>
    </row>
    <row r="18" spans="1:8" x14ac:dyDescent="0.3">
      <c r="A18" t="s">
        <v>53</v>
      </c>
      <c r="B18" t="s">
        <v>42</v>
      </c>
      <c r="C18" t="s">
        <v>46</v>
      </c>
      <c r="D18">
        <v>0.32808398999999999</v>
      </c>
      <c r="E18">
        <v>1.5022799999999999E-2</v>
      </c>
      <c r="F18">
        <v>2.4971999999999999</v>
      </c>
      <c r="G18">
        <v>0.37976514</v>
      </c>
      <c r="H18">
        <v>21.839070580000001</v>
      </c>
    </row>
    <row r="19" spans="1:8" x14ac:dyDescent="0.3">
      <c r="A19" t="s">
        <v>53</v>
      </c>
      <c r="B19" t="s">
        <v>43</v>
      </c>
      <c r="C19" t="s">
        <v>95</v>
      </c>
      <c r="D19">
        <v>0.49212598400000002</v>
      </c>
      <c r="E19">
        <v>0.91292399999999996</v>
      </c>
      <c r="F19">
        <v>142.83984000000001</v>
      </c>
      <c r="G19">
        <v>0.21018448000000001</v>
      </c>
      <c r="H19">
        <v>0.53906566600000005</v>
      </c>
    </row>
    <row r="20" spans="1:8" x14ac:dyDescent="0.3">
      <c r="A20" t="s">
        <v>53</v>
      </c>
      <c r="B20" t="s">
        <v>51</v>
      </c>
      <c r="C20" t="s">
        <v>39</v>
      </c>
      <c r="D20">
        <v>4.9212598000000003E-2</v>
      </c>
      <c r="E20">
        <v>0.41659380000000001</v>
      </c>
      <c r="F20">
        <v>110.00166</v>
      </c>
      <c r="G20">
        <v>0.20063064</v>
      </c>
      <c r="H20">
        <v>0.118130895</v>
      </c>
    </row>
    <row r="21" spans="1:8" x14ac:dyDescent="0.3">
      <c r="A21" t="s">
        <v>54</v>
      </c>
      <c r="B21" t="s">
        <v>38</v>
      </c>
      <c r="C21" t="s">
        <v>39</v>
      </c>
      <c r="D21">
        <v>4.9212598000000003E-2</v>
      </c>
      <c r="E21">
        <v>0.41659380000000001</v>
      </c>
      <c r="F21">
        <v>110.00166</v>
      </c>
      <c r="G21">
        <v>0.20063064</v>
      </c>
      <c r="H21">
        <v>0.118130895</v>
      </c>
    </row>
    <row r="22" spans="1:8" x14ac:dyDescent="0.3">
      <c r="A22" t="s">
        <v>54</v>
      </c>
      <c r="B22" t="s">
        <v>38</v>
      </c>
      <c r="C22" t="s">
        <v>39</v>
      </c>
      <c r="D22">
        <v>4.9212598000000003E-2</v>
      </c>
      <c r="E22">
        <v>0.41659380000000001</v>
      </c>
      <c r="F22">
        <v>110.00166</v>
      </c>
      <c r="G22">
        <v>0.20063064</v>
      </c>
      <c r="H22">
        <v>0.118130895</v>
      </c>
    </row>
    <row r="23" spans="1:8" x14ac:dyDescent="0.3">
      <c r="A23" t="s">
        <v>54</v>
      </c>
      <c r="B23" t="s">
        <v>40</v>
      </c>
      <c r="C23" t="s">
        <v>96</v>
      </c>
      <c r="D23">
        <v>0.24606299200000001</v>
      </c>
      <c r="E23">
        <v>0.46108440000000001</v>
      </c>
      <c r="F23">
        <v>118.11756</v>
      </c>
      <c r="G23">
        <v>0.21018448000000001</v>
      </c>
      <c r="H23">
        <v>0.53366149900000004</v>
      </c>
    </row>
    <row r="24" spans="1:8" x14ac:dyDescent="0.3">
      <c r="A24" t="s">
        <v>54</v>
      </c>
      <c r="B24" t="s">
        <v>40</v>
      </c>
      <c r="C24" t="s">
        <v>96</v>
      </c>
      <c r="D24">
        <v>0.24606299200000001</v>
      </c>
      <c r="E24">
        <v>0.46108440000000001</v>
      </c>
      <c r="F24">
        <v>118.11756</v>
      </c>
      <c r="G24">
        <v>0.21018448000000001</v>
      </c>
      <c r="H24">
        <v>0.53366149900000004</v>
      </c>
    </row>
    <row r="25" spans="1:8" x14ac:dyDescent="0.3">
      <c r="A25" t="s">
        <v>54</v>
      </c>
      <c r="B25" t="s">
        <v>42</v>
      </c>
      <c r="C25" t="s">
        <v>44</v>
      </c>
      <c r="D25">
        <v>1.6404199000000001E-2</v>
      </c>
      <c r="E25">
        <v>2.1956400000000001E-2</v>
      </c>
      <c r="F25">
        <v>1.74804</v>
      </c>
      <c r="G25">
        <v>0.28972019799999998</v>
      </c>
      <c r="H25">
        <v>0.74712609900000004</v>
      </c>
    </row>
    <row r="26" spans="1:8" x14ac:dyDescent="0.3">
      <c r="A26" t="s">
        <v>54</v>
      </c>
      <c r="B26" t="s">
        <v>42</v>
      </c>
      <c r="C26" t="s">
        <v>44</v>
      </c>
      <c r="D26">
        <v>1.6404199000000001E-2</v>
      </c>
      <c r="E26">
        <v>2.1956400000000001E-2</v>
      </c>
      <c r="F26">
        <v>1.74804</v>
      </c>
      <c r="G26">
        <v>0.28972019799999998</v>
      </c>
      <c r="H26">
        <v>0.74712609900000004</v>
      </c>
    </row>
    <row r="27" spans="1:8" x14ac:dyDescent="0.3">
      <c r="A27" t="s">
        <v>54</v>
      </c>
      <c r="B27" t="s">
        <v>43</v>
      </c>
      <c r="C27" t="s">
        <v>95</v>
      </c>
      <c r="D27">
        <v>0.49212598400000002</v>
      </c>
      <c r="E27">
        <v>0.91292399999999996</v>
      </c>
      <c r="F27">
        <v>142.83984000000001</v>
      </c>
      <c r="G27">
        <v>0.21018448000000001</v>
      </c>
      <c r="H27">
        <v>0.53906566600000005</v>
      </c>
    </row>
    <row r="28" spans="1:8" x14ac:dyDescent="0.3">
      <c r="A28" t="s">
        <v>54</v>
      </c>
      <c r="B28" t="s">
        <v>43</v>
      </c>
      <c r="C28" t="s">
        <v>95</v>
      </c>
      <c r="D28">
        <v>0.49212598400000002</v>
      </c>
      <c r="E28">
        <v>0.91292399999999996</v>
      </c>
      <c r="F28">
        <v>142.83984000000001</v>
      </c>
      <c r="G28">
        <v>0.21018448000000001</v>
      </c>
      <c r="H28">
        <v>0.53906566600000005</v>
      </c>
    </row>
    <row r="29" spans="1:8" x14ac:dyDescent="0.3">
      <c r="A29" t="s">
        <v>54</v>
      </c>
      <c r="B29" t="s">
        <v>51</v>
      </c>
      <c r="C29" t="s">
        <v>39</v>
      </c>
      <c r="D29">
        <v>4.9212598000000003E-2</v>
      </c>
      <c r="E29">
        <v>0.41659380000000001</v>
      </c>
      <c r="F29">
        <v>110.00166</v>
      </c>
      <c r="G29">
        <v>0.20063064</v>
      </c>
      <c r="H29">
        <v>0.118130895</v>
      </c>
    </row>
    <row r="30" spans="1:8" x14ac:dyDescent="0.3">
      <c r="A30" t="s">
        <v>54</v>
      </c>
      <c r="B30" t="s">
        <v>51</v>
      </c>
      <c r="C30" t="s">
        <v>39</v>
      </c>
      <c r="D30">
        <v>4.9212598000000003E-2</v>
      </c>
      <c r="E30">
        <v>0.41659380000000001</v>
      </c>
      <c r="F30">
        <v>110.00166</v>
      </c>
      <c r="G30">
        <v>0.20063064</v>
      </c>
      <c r="H30">
        <v>0.118130895</v>
      </c>
    </row>
    <row r="31" spans="1:8" x14ac:dyDescent="0.3">
      <c r="A31" t="s">
        <v>55</v>
      </c>
      <c r="B31" t="s">
        <v>38</v>
      </c>
      <c r="C31" t="s">
        <v>39</v>
      </c>
      <c r="D31">
        <v>4.9212598000000003E-2</v>
      </c>
      <c r="E31">
        <v>0.41659380000000001</v>
      </c>
      <c r="F31">
        <v>110.00166</v>
      </c>
      <c r="G31">
        <v>0.20063064</v>
      </c>
      <c r="H31">
        <v>0.118130895</v>
      </c>
    </row>
    <row r="32" spans="1:8" x14ac:dyDescent="0.3">
      <c r="A32" t="s">
        <v>55</v>
      </c>
      <c r="B32" t="s">
        <v>40</v>
      </c>
      <c r="C32" t="s">
        <v>96</v>
      </c>
      <c r="D32">
        <v>0.24606299200000001</v>
      </c>
      <c r="E32">
        <v>0.46108440000000001</v>
      </c>
      <c r="F32">
        <v>118.11756</v>
      </c>
      <c r="G32">
        <v>0.21018448000000001</v>
      </c>
      <c r="H32">
        <v>0.53366149900000004</v>
      </c>
    </row>
    <row r="33" spans="1:8" x14ac:dyDescent="0.3">
      <c r="A33" t="s">
        <v>55</v>
      </c>
      <c r="B33" t="s">
        <v>42</v>
      </c>
      <c r="C33" t="s">
        <v>44</v>
      </c>
      <c r="D33">
        <v>3.2808399000000002E-2</v>
      </c>
      <c r="E33">
        <v>2.1956400000000001E-2</v>
      </c>
      <c r="F33">
        <v>1.74804</v>
      </c>
      <c r="G33">
        <v>0.28972019799999998</v>
      </c>
      <c r="H33">
        <v>1.4942521980000001</v>
      </c>
    </row>
    <row r="34" spans="1:8" x14ac:dyDescent="0.3">
      <c r="A34" t="s">
        <v>55</v>
      </c>
      <c r="B34" t="s">
        <v>43</v>
      </c>
      <c r="C34" t="s">
        <v>95</v>
      </c>
      <c r="D34">
        <v>0.49212598400000002</v>
      </c>
      <c r="E34">
        <v>0.91292399999999996</v>
      </c>
      <c r="F34">
        <v>142.83984000000001</v>
      </c>
      <c r="G34">
        <v>0.21018448000000001</v>
      </c>
      <c r="H34">
        <v>0.53906566600000005</v>
      </c>
    </row>
    <row r="35" spans="1:8" x14ac:dyDescent="0.3">
      <c r="A35" t="s">
        <v>55</v>
      </c>
      <c r="B35" t="s">
        <v>51</v>
      </c>
      <c r="C35" t="s">
        <v>39</v>
      </c>
      <c r="D35">
        <v>4.9212598000000003E-2</v>
      </c>
      <c r="E35">
        <v>0.41659380000000001</v>
      </c>
      <c r="F35">
        <v>110.00166</v>
      </c>
      <c r="G35">
        <v>0.20063064</v>
      </c>
      <c r="H35">
        <v>0.118130895</v>
      </c>
    </row>
    <row r="36" spans="1:8" x14ac:dyDescent="0.3">
      <c r="A36" t="s">
        <v>56</v>
      </c>
      <c r="B36" t="s">
        <v>38</v>
      </c>
      <c r="C36" t="s">
        <v>39</v>
      </c>
      <c r="D36">
        <v>4.9212598000000003E-2</v>
      </c>
      <c r="E36">
        <v>0.41659380000000001</v>
      </c>
      <c r="F36">
        <v>110.00166</v>
      </c>
      <c r="G36">
        <v>0.20063064</v>
      </c>
      <c r="H36">
        <v>0.118130895</v>
      </c>
    </row>
    <row r="37" spans="1:8" x14ac:dyDescent="0.3">
      <c r="A37" t="s">
        <v>56</v>
      </c>
      <c r="B37" t="s">
        <v>40</v>
      </c>
      <c r="C37" t="s">
        <v>96</v>
      </c>
      <c r="D37">
        <v>0.24606299200000001</v>
      </c>
      <c r="E37">
        <v>0.46108440000000001</v>
      </c>
      <c r="F37">
        <v>118.11756</v>
      </c>
      <c r="G37">
        <v>0.21018448000000001</v>
      </c>
      <c r="H37">
        <v>0.53366149900000004</v>
      </c>
    </row>
    <row r="38" spans="1:8" x14ac:dyDescent="0.3">
      <c r="A38" t="s">
        <v>56</v>
      </c>
      <c r="B38" t="s">
        <v>42</v>
      </c>
      <c r="C38" t="s">
        <v>44</v>
      </c>
      <c r="D38">
        <v>4.9212598000000003E-2</v>
      </c>
      <c r="E38">
        <v>2.1956400000000001E-2</v>
      </c>
      <c r="F38">
        <v>1.74804</v>
      </c>
      <c r="G38">
        <v>0.28972019799999998</v>
      </c>
      <c r="H38">
        <v>2.2413782960000002</v>
      </c>
    </row>
    <row r="39" spans="1:8" x14ac:dyDescent="0.3">
      <c r="A39" t="s">
        <v>56</v>
      </c>
      <c r="B39" t="s">
        <v>43</v>
      </c>
      <c r="C39" t="s">
        <v>95</v>
      </c>
      <c r="D39">
        <v>0.49212598400000002</v>
      </c>
      <c r="E39">
        <v>0.91292399999999996</v>
      </c>
      <c r="F39">
        <v>142.83984000000001</v>
      </c>
      <c r="G39">
        <v>0.21018448000000001</v>
      </c>
      <c r="H39">
        <v>0.53906566600000005</v>
      </c>
    </row>
    <row r="40" spans="1:8" x14ac:dyDescent="0.3">
      <c r="A40" t="s">
        <v>56</v>
      </c>
      <c r="B40" t="s">
        <v>51</v>
      </c>
      <c r="C40" t="s">
        <v>39</v>
      </c>
      <c r="D40">
        <v>4.9212598000000003E-2</v>
      </c>
      <c r="E40">
        <v>0.41659380000000001</v>
      </c>
      <c r="F40">
        <v>110.00166</v>
      </c>
      <c r="G40">
        <v>0.20063064</v>
      </c>
      <c r="H40">
        <v>0.118130895</v>
      </c>
    </row>
    <row r="41" spans="1:8" x14ac:dyDescent="0.3">
      <c r="A41" t="s">
        <v>57</v>
      </c>
      <c r="B41" t="s">
        <v>38</v>
      </c>
      <c r="C41" t="s">
        <v>39</v>
      </c>
      <c r="D41">
        <v>4.9212598000000003E-2</v>
      </c>
      <c r="E41">
        <v>0.41659380000000001</v>
      </c>
      <c r="F41">
        <v>110.00166</v>
      </c>
      <c r="G41">
        <v>0.20063064</v>
      </c>
      <c r="H41">
        <v>0.118130895</v>
      </c>
    </row>
    <row r="42" spans="1:8" x14ac:dyDescent="0.3">
      <c r="A42" t="s">
        <v>57</v>
      </c>
      <c r="B42" t="s">
        <v>40</v>
      </c>
      <c r="C42" t="s">
        <v>96</v>
      </c>
      <c r="D42">
        <v>0.24606299200000001</v>
      </c>
      <c r="E42">
        <v>0.46108440000000001</v>
      </c>
      <c r="F42">
        <v>118.11756</v>
      </c>
      <c r="G42">
        <v>0.21018448000000001</v>
      </c>
      <c r="H42">
        <v>0.53366149900000004</v>
      </c>
    </row>
    <row r="43" spans="1:8" x14ac:dyDescent="0.3">
      <c r="A43" t="s">
        <v>57</v>
      </c>
      <c r="B43" t="s">
        <v>42</v>
      </c>
      <c r="C43" t="s">
        <v>44</v>
      </c>
      <c r="D43">
        <v>6.5616798000000004E-2</v>
      </c>
      <c r="E43">
        <v>2.1956400000000001E-2</v>
      </c>
      <c r="F43">
        <v>1.74804</v>
      </c>
      <c r="G43">
        <v>0.28972019799999998</v>
      </c>
      <c r="H43">
        <v>2.9885043950000001</v>
      </c>
    </row>
    <row r="44" spans="1:8" x14ac:dyDescent="0.3">
      <c r="A44" t="s">
        <v>57</v>
      </c>
      <c r="B44" t="s">
        <v>43</v>
      </c>
      <c r="C44" t="s">
        <v>95</v>
      </c>
      <c r="D44">
        <v>0.49212598400000002</v>
      </c>
      <c r="E44">
        <v>0.91292399999999996</v>
      </c>
      <c r="F44">
        <v>142.83984000000001</v>
      </c>
      <c r="G44">
        <v>0.21018448000000001</v>
      </c>
      <c r="H44">
        <v>0.53906566600000005</v>
      </c>
    </row>
    <row r="45" spans="1:8" x14ac:dyDescent="0.3">
      <c r="A45" t="s">
        <v>57</v>
      </c>
      <c r="B45" t="s">
        <v>51</v>
      </c>
      <c r="C45" t="s">
        <v>39</v>
      </c>
      <c r="D45">
        <v>4.9212598000000003E-2</v>
      </c>
      <c r="E45">
        <v>0.41659380000000001</v>
      </c>
      <c r="F45">
        <v>110.00166</v>
      </c>
      <c r="G45">
        <v>0.20063064</v>
      </c>
      <c r="H45">
        <v>0.118130895</v>
      </c>
    </row>
    <row r="46" spans="1:8" x14ac:dyDescent="0.3">
      <c r="A46" t="s">
        <v>58</v>
      </c>
      <c r="B46" t="s">
        <v>38</v>
      </c>
      <c r="C46" t="s">
        <v>39</v>
      </c>
      <c r="D46">
        <v>4.9212598000000003E-2</v>
      </c>
      <c r="E46">
        <v>0.41659380000000001</v>
      </c>
      <c r="F46">
        <v>110.00166</v>
      </c>
      <c r="G46">
        <v>0.20063064</v>
      </c>
      <c r="H46">
        <v>0.118130895</v>
      </c>
    </row>
    <row r="47" spans="1:8" x14ac:dyDescent="0.3">
      <c r="A47" t="s">
        <v>58</v>
      </c>
      <c r="B47" t="s">
        <v>40</v>
      </c>
      <c r="C47" t="s">
        <v>96</v>
      </c>
      <c r="D47">
        <v>0.24606299200000001</v>
      </c>
      <c r="E47">
        <v>0.46108440000000001</v>
      </c>
      <c r="F47">
        <v>118.11756</v>
      </c>
      <c r="G47">
        <v>0.21018448000000001</v>
      </c>
      <c r="H47">
        <v>0.53366149900000004</v>
      </c>
    </row>
    <row r="48" spans="1:8" x14ac:dyDescent="0.3">
      <c r="A48" t="s">
        <v>58</v>
      </c>
      <c r="B48" t="s">
        <v>42</v>
      </c>
      <c r="C48" t="s">
        <v>44</v>
      </c>
      <c r="D48">
        <v>8.2020996999999998E-2</v>
      </c>
      <c r="E48">
        <v>2.1956400000000001E-2</v>
      </c>
      <c r="F48">
        <v>1.74804</v>
      </c>
      <c r="G48">
        <v>0.28972019799999998</v>
      </c>
      <c r="H48">
        <v>3.735630494</v>
      </c>
    </row>
    <row r="49" spans="1:8" x14ac:dyDescent="0.3">
      <c r="A49" t="s">
        <v>58</v>
      </c>
      <c r="B49" t="s">
        <v>43</v>
      </c>
      <c r="C49" t="s">
        <v>95</v>
      </c>
      <c r="D49">
        <v>0.49212598400000002</v>
      </c>
      <c r="E49">
        <v>0.91292399999999996</v>
      </c>
      <c r="F49">
        <v>142.83984000000001</v>
      </c>
      <c r="G49">
        <v>0.21018448000000001</v>
      </c>
      <c r="H49">
        <v>0.53906566600000005</v>
      </c>
    </row>
    <row r="50" spans="1:8" x14ac:dyDescent="0.3">
      <c r="A50" t="s">
        <v>58</v>
      </c>
      <c r="B50" t="s">
        <v>51</v>
      </c>
      <c r="C50" t="s">
        <v>39</v>
      </c>
      <c r="D50">
        <v>4.9212598000000003E-2</v>
      </c>
      <c r="E50">
        <v>0.41659380000000001</v>
      </c>
      <c r="F50">
        <v>110.00166</v>
      </c>
      <c r="G50">
        <v>0.20063064</v>
      </c>
      <c r="H50">
        <v>0.118130895</v>
      </c>
    </row>
    <row r="51" spans="1:8" x14ac:dyDescent="0.3">
      <c r="A51" t="s">
        <v>59</v>
      </c>
      <c r="B51" t="s">
        <v>38</v>
      </c>
      <c r="C51" t="s">
        <v>39</v>
      </c>
      <c r="D51">
        <v>4.9212598000000003E-2</v>
      </c>
      <c r="E51">
        <v>0.41659380000000001</v>
      </c>
      <c r="F51">
        <v>110.00166</v>
      </c>
      <c r="G51">
        <v>0.20063064</v>
      </c>
      <c r="H51">
        <v>0.118130895</v>
      </c>
    </row>
    <row r="52" spans="1:8" x14ac:dyDescent="0.3">
      <c r="A52" t="s">
        <v>59</v>
      </c>
      <c r="B52" t="s">
        <v>40</v>
      </c>
      <c r="C52" t="s">
        <v>96</v>
      </c>
      <c r="D52">
        <v>0.24606299200000001</v>
      </c>
      <c r="E52">
        <v>0.46108440000000001</v>
      </c>
      <c r="F52">
        <v>118.11756</v>
      </c>
      <c r="G52">
        <v>0.21018448000000001</v>
      </c>
      <c r="H52">
        <v>0.53366149900000004</v>
      </c>
    </row>
    <row r="53" spans="1:8" x14ac:dyDescent="0.3">
      <c r="A53" t="s">
        <v>59</v>
      </c>
      <c r="B53" t="s">
        <v>42</v>
      </c>
      <c r="C53" t="s">
        <v>44</v>
      </c>
      <c r="D53">
        <v>0.164041995</v>
      </c>
      <c r="E53">
        <v>2.1956400000000001E-2</v>
      </c>
      <c r="F53">
        <v>1.74804</v>
      </c>
      <c r="G53">
        <v>0.28972019799999998</v>
      </c>
      <c r="H53">
        <v>7.471260988</v>
      </c>
    </row>
    <row r="54" spans="1:8" x14ac:dyDescent="0.3">
      <c r="A54" t="s">
        <v>59</v>
      </c>
      <c r="B54" t="s">
        <v>43</v>
      </c>
      <c r="C54" t="s">
        <v>95</v>
      </c>
      <c r="D54">
        <v>0.49212598400000002</v>
      </c>
      <c r="E54">
        <v>0.91292399999999996</v>
      </c>
      <c r="F54">
        <v>142.83984000000001</v>
      </c>
      <c r="G54">
        <v>0.21018448000000001</v>
      </c>
      <c r="H54">
        <v>0.53906566600000005</v>
      </c>
    </row>
    <row r="55" spans="1:8" x14ac:dyDescent="0.3">
      <c r="A55" t="s">
        <v>59</v>
      </c>
      <c r="B55" t="s">
        <v>51</v>
      </c>
      <c r="C55" t="s">
        <v>39</v>
      </c>
      <c r="D55">
        <v>4.9212598000000003E-2</v>
      </c>
      <c r="E55">
        <v>0.41659380000000001</v>
      </c>
      <c r="F55">
        <v>110.00166</v>
      </c>
      <c r="G55">
        <v>0.20063064</v>
      </c>
      <c r="H55">
        <v>0.118130895</v>
      </c>
    </row>
    <row r="56" spans="1:8" x14ac:dyDescent="0.3">
      <c r="A56" t="s">
        <v>60</v>
      </c>
      <c r="B56" t="s">
        <v>38</v>
      </c>
      <c r="C56" t="s">
        <v>39</v>
      </c>
      <c r="D56">
        <v>4.9212598000000003E-2</v>
      </c>
      <c r="E56">
        <v>0.41659380000000001</v>
      </c>
      <c r="F56">
        <v>110.00166</v>
      </c>
      <c r="G56">
        <v>0.20063064</v>
      </c>
      <c r="H56">
        <v>0.118130895</v>
      </c>
    </row>
    <row r="57" spans="1:8" x14ac:dyDescent="0.3">
      <c r="A57" t="s">
        <v>60</v>
      </c>
      <c r="B57" t="s">
        <v>40</v>
      </c>
      <c r="C57" t="s">
        <v>96</v>
      </c>
      <c r="D57">
        <v>0.24606299200000001</v>
      </c>
      <c r="E57">
        <v>0.46108440000000001</v>
      </c>
      <c r="F57">
        <v>118.11756</v>
      </c>
      <c r="G57">
        <v>0.21018448000000001</v>
      </c>
      <c r="H57">
        <v>0.53366149900000004</v>
      </c>
    </row>
    <row r="58" spans="1:8" x14ac:dyDescent="0.3">
      <c r="A58" t="s">
        <v>60</v>
      </c>
      <c r="B58" t="s">
        <v>42</v>
      </c>
      <c r="C58" t="s">
        <v>44</v>
      </c>
      <c r="D58">
        <v>0.24606299200000001</v>
      </c>
      <c r="E58">
        <v>2.1956400000000001E-2</v>
      </c>
      <c r="F58">
        <v>1.74804</v>
      </c>
      <c r="G58">
        <v>0.28972019799999998</v>
      </c>
      <c r="H58">
        <v>11.206891479999999</v>
      </c>
    </row>
    <row r="59" spans="1:8" x14ac:dyDescent="0.3">
      <c r="A59" t="s">
        <v>60</v>
      </c>
      <c r="B59" t="s">
        <v>43</v>
      </c>
      <c r="C59" t="s">
        <v>95</v>
      </c>
      <c r="D59">
        <v>0.49212598400000002</v>
      </c>
      <c r="E59">
        <v>0.91292399999999996</v>
      </c>
      <c r="F59">
        <v>142.83984000000001</v>
      </c>
      <c r="G59">
        <v>0.21018448000000001</v>
      </c>
      <c r="H59">
        <v>0.53906566600000005</v>
      </c>
    </row>
    <row r="60" spans="1:8" x14ac:dyDescent="0.3">
      <c r="A60" t="s">
        <v>60</v>
      </c>
      <c r="B60" t="s">
        <v>51</v>
      </c>
      <c r="C60" t="s">
        <v>39</v>
      </c>
      <c r="D60">
        <v>4.9212598000000003E-2</v>
      </c>
      <c r="E60">
        <v>0.41659380000000001</v>
      </c>
      <c r="F60">
        <v>110.00166</v>
      </c>
      <c r="G60">
        <v>0.20063064</v>
      </c>
      <c r="H60">
        <v>0.118130895</v>
      </c>
    </row>
    <row r="61" spans="1:8" x14ac:dyDescent="0.3">
      <c r="A61" t="s">
        <v>61</v>
      </c>
      <c r="B61" t="s">
        <v>38</v>
      </c>
      <c r="C61" t="s">
        <v>39</v>
      </c>
      <c r="D61">
        <v>4.9212598000000003E-2</v>
      </c>
      <c r="E61">
        <v>0.41659380000000001</v>
      </c>
      <c r="F61">
        <v>110.00166</v>
      </c>
      <c r="G61">
        <v>0.20063064</v>
      </c>
      <c r="H61">
        <v>0.118130895</v>
      </c>
    </row>
    <row r="62" spans="1:8" x14ac:dyDescent="0.3">
      <c r="A62" t="s">
        <v>61</v>
      </c>
      <c r="B62" t="s">
        <v>40</v>
      </c>
      <c r="C62" t="s">
        <v>96</v>
      </c>
      <c r="D62">
        <v>0.24606299200000001</v>
      </c>
      <c r="E62">
        <v>0.46108440000000001</v>
      </c>
      <c r="F62">
        <v>118.11756</v>
      </c>
      <c r="G62">
        <v>0.21018448000000001</v>
      </c>
      <c r="H62">
        <v>0.53366149900000004</v>
      </c>
    </row>
    <row r="63" spans="1:8" x14ac:dyDescent="0.3">
      <c r="A63" t="s">
        <v>61</v>
      </c>
      <c r="B63" t="s">
        <v>42</v>
      </c>
      <c r="C63" t="s">
        <v>44</v>
      </c>
      <c r="D63">
        <v>0.24606299200000001</v>
      </c>
      <c r="E63">
        <v>2.1956400000000001E-2</v>
      </c>
      <c r="F63">
        <v>1.74804</v>
      </c>
      <c r="G63">
        <v>0.28972019799999998</v>
      </c>
      <c r="H63">
        <v>11.206891479999999</v>
      </c>
    </row>
    <row r="64" spans="1:8" x14ac:dyDescent="0.3">
      <c r="A64" t="s">
        <v>61</v>
      </c>
      <c r="B64" t="s">
        <v>43</v>
      </c>
      <c r="C64" t="s">
        <v>95</v>
      </c>
      <c r="D64">
        <v>0.49212598400000002</v>
      </c>
      <c r="E64">
        <v>0.91292399999999996</v>
      </c>
      <c r="F64">
        <v>142.83984000000001</v>
      </c>
      <c r="G64">
        <v>0.21018448000000001</v>
      </c>
      <c r="H64">
        <v>0.53906566600000005</v>
      </c>
    </row>
    <row r="65" spans="1:8" x14ac:dyDescent="0.3">
      <c r="A65" t="s">
        <v>61</v>
      </c>
      <c r="B65" t="s">
        <v>51</v>
      </c>
      <c r="C65" t="s">
        <v>39</v>
      </c>
      <c r="D65">
        <v>4.9212598000000003E-2</v>
      </c>
      <c r="E65">
        <v>0.41659380000000001</v>
      </c>
      <c r="F65">
        <v>110.00166</v>
      </c>
      <c r="G65">
        <v>0.20063064</v>
      </c>
      <c r="H65">
        <v>0.118130895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353F-88C0-490C-8C0F-0B8169DCD0F3}">
  <dimension ref="A1:V23"/>
  <sheetViews>
    <sheetView workbookViewId="0">
      <selection activeCell="J20" sqref="J20"/>
    </sheetView>
  </sheetViews>
  <sheetFormatPr defaultRowHeight="14.4" x14ac:dyDescent="0.3"/>
  <cols>
    <col min="1" max="1" width="31.5546875" bestFit="1" customWidth="1"/>
    <col min="2" max="3" width="5.77734375" bestFit="1" customWidth="1"/>
    <col min="4" max="4" width="8.44140625" bestFit="1" customWidth="1"/>
    <col min="5" max="5" width="5.77734375" bestFit="1" customWidth="1"/>
    <col min="6" max="6" width="14.33203125" bestFit="1" customWidth="1"/>
    <col min="7" max="10" width="14.33203125" customWidth="1"/>
    <col min="11" max="11" width="14.33203125" bestFit="1" customWidth="1"/>
    <col min="12" max="13" width="14.33203125" customWidth="1"/>
    <col min="14" max="14" width="14.33203125" bestFit="1" customWidth="1"/>
    <col min="15" max="17" width="14.33203125" customWidth="1"/>
    <col min="18" max="18" width="14.33203125" bestFit="1" customWidth="1"/>
    <col min="19" max="20" width="16.21875" bestFit="1" customWidth="1"/>
    <col min="21" max="21" width="12.44140625" bestFit="1" customWidth="1"/>
    <col min="22" max="22" width="13.33203125" bestFit="1" customWidth="1"/>
  </cols>
  <sheetData>
    <row r="1" spans="1:22" x14ac:dyDescent="0.3">
      <c r="A1" t="s">
        <v>10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70</v>
      </c>
      <c r="H1" t="s">
        <v>74</v>
      </c>
      <c r="I1" t="s">
        <v>78</v>
      </c>
      <c r="J1" t="s">
        <v>75</v>
      </c>
      <c r="K1" t="s">
        <v>67</v>
      </c>
      <c r="L1" t="s">
        <v>71</v>
      </c>
      <c r="M1" t="s">
        <v>79</v>
      </c>
      <c r="N1" t="s">
        <v>68</v>
      </c>
      <c r="O1" t="s">
        <v>72</v>
      </c>
      <c r="P1" t="s">
        <v>76</v>
      </c>
      <c r="Q1" t="s">
        <v>80</v>
      </c>
      <c r="R1" t="s">
        <v>69</v>
      </c>
      <c r="S1" t="s">
        <v>72</v>
      </c>
      <c r="T1" t="s">
        <v>73</v>
      </c>
      <c r="U1" t="s">
        <v>77</v>
      </c>
      <c r="V1" t="s">
        <v>81</v>
      </c>
    </row>
    <row r="2" spans="1:22" x14ac:dyDescent="0.3">
      <c r="A2" s="9" t="s">
        <v>30</v>
      </c>
      <c r="B2" t="s">
        <v>39</v>
      </c>
      <c r="C2" t="s">
        <v>82</v>
      </c>
      <c r="D2" t="s">
        <v>83</v>
      </c>
      <c r="E2" s="6" t="s">
        <v>9</v>
      </c>
      <c r="F2" s="4">
        <f>CONVERT(20,"mm","ft")</f>
        <v>6.5616797900262466E-2</v>
      </c>
      <c r="G2" s="1">
        <f>0.72*5.678263243</f>
        <v>4.0883495349599999</v>
      </c>
      <c r="H2" s="1">
        <f>1762*0.062427961</f>
        <v>109.99806728199999</v>
      </c>
      <c r="I2" s="1">
        <f>840* 0.000239005736</f>
        <v>0.20076481824</v>
      </c>
      <c r="J2" s="1">
        <f>1892*0.062427961</f>
        <v>118.11370221199999</v>
      </c>
      <c r="K2" s="4">
        <f>CONVERT(80,"mm","ft")</f>
        <v>0.26246719160104987</v>
      </c>
      <c r="L2" s="1">
        <f>0.8*5.678263243</f>
        <v>4.5426105944000001</v>
      </c>
      <c r="M2" s="2">
        <f>880* 0.000239005736</f>
        <v>0.21032504767999999</v>
      </c>
      <c r="N2" s="4">
        <f>CONVERT(150,"mm","ft")</f>
        <v>0.49212598425196852</v>
      </c>
      <c r="O2" s="1">
        <f>1.58*5.678263243</f>
        <v>8.9716559239400002</v>
      </c>
      <c r="P2" s="1">
        <f>2288*0.062427961</f>
        <v>142.835174768</v>
      </c>
      <c r="Q2" s="1">
        <f>880* 0.000239005736</f>
        <v>0.21032504767999999</v>
      </c>
      <c r="R2" s="1">
        <f t="shared" ref="R2:R12" si="0">N2*S2</f>
        <v>4.4151850019389762</v>
      </c>
      <c r="S2" s="1">
        <f>1.58*5.678263243</f>
        <v>8.9716559239400002</v>
      </c>
      <c r="T2" s="1">
        <v>1.6E-2</v>
      </c>
      <c r="U2">
        <v>2.1800000000000002</v>
      </c>
      <c r="V2">
        <v>0.28999999999999998</v>
      </c>
    </row>
    <row r="3" spans="1:22" x14ac:dyDescent="0.3">
      <c r="A3" s="7" t="s">
        <v>50</v>
      </c>
      <c r="B3" t="s">
        <v>39</v>
      </c>
      <c r="C3" t="s">
        <v>82</v>
      </c>
      <c r="D3" t="s">
        <v>83</v>
      </c>
      <c r="E3" s="6" t="s">
        <v>9</v>
      </c>
      <c r="F3" s="1">
        <f t="shared" ref="F3:F23" si="1">CONVERT(20,"mm","ft")</f>
        <v>6.5616797900262466E-2</v>
      </c>
      <c r="G3" s="1">
        <f t="shared" ref="G3:G23" si="2">0.72*5.678263243</f>
        <v>4.0883495349599999</v>
      </c>
      <c r="H3" s="1">
        <f t="shared" ref="H3:H23" si="3">1762*0.062427961</f>
        <v>109.99806728199999</v>
      </c>
      <c r="I3" s="1">
        <f t="shared" ref="I3:I23" si="4">840* 0.000239005736</f>
        <v>0.20076481824</v>
      </c>
      <c r="J3" s="1">
        <f t="shared" ref="J3:J23" si="5">1892*0.062427961</f>
        <v>118.11370221199999</v>
      </c>
      <c r="K3" s="4">
        <f t="shared" ref="K3:K23" si="6">CONVERT(80,"mm","ft")</f>
        <v>0.26246719160104987</v>
      </c>
      <c r="L3" s="1">
        <f t="shared" ref="L3:L23" si="7">0.8*5.678263243</f>
        <v>4.5426105944000001</v>
      </c>
      <c r="M3" s="2">
        <f t="shared" ref="M3:M23" si="8">880* 0.000239005736</f>
        <v>0.21032504767999999</v>
      </c>
      <c r="N3" s="1">
        <f>CONVERT(30,"mm","ft")</f>
        <v>9.8425196850393706E-2</v>
      </c>
      <c r="O3" s="1">
        <f t="shared" ref="O3:S5" si="9">0.03*5.678263243</f>
        <v>0.17034789728999999</v>
      </c>
      <c r="P3" s="1">
        <f>40*0.062427961</f>
        <v>2.4971184399999999</v>
      </c>
      <c r="Q3" s="1">
        <f>1590* 0.000239005736</f>
        <v>0.38001912024000001</v>
      </c>
      <c r="R3" s="1">
        <f t="shared" si="0"/>
        <v>1.67665253238189E-2</v>
      </c>
      <c r="S3" s="1">
        <f t="shared" si="9"/>
        <v>0.17034789728999999</v>
      </c>
      <c r="T3" s="1">
        <v>1.6E-2</v>
      </c>
      <c r="U3">
        <v>2.1800000000000002</v>
      </c>
      <c r="V3">
        <v>0.28999999999999998</v>
      </c>
    </row>
    <row r="4" spans="1:22" x14ac:dyDescent="0.3">
      <c r="A4" s="7" t="s">
        <v>52</v>
      </c>
      <c r="B4" t="s">
        <v>39</v>
      </c>
      <c r="C4" t="s">
        <v>82</v>
      </c>
      <c r="D4" t="s">
        <v>83</v>
      </c>
      <c r="E4" s="6" t="s">
        <v>9</v>
      </c>
      <c r="F4" s="1">
        <f t="shared" si="1"/>
        <v>6.5616797900262466E-2</v>
      </c>
      <c r="G4" s="1">
        <f t="shared" si="2"/>
        <v>4.0883495349599999</v>
      </c>
      <c r="H4" s="1">
        <f t="shared" si="3"/>
        <v>109.99806728199999</v>
      </c>
      <c r="I4" s="1">
        <f t="shared" si="4"/>
        <v>0.20076481824</v>
      </c>
      <c r="J4" s="1">
        <f t="shared" si="5"/>
        <v>118.11370221199999</v>
      </c>
      <c r="K4" s="4">
        <f t="shared" si="6"/>
        <v>0.26246719160104987</v>
      </c>
      <c r="L4" s="1">
        <f t="shared" si="7"/>
        <v>4.5426105944000001</v>
      </c>
      <c r="M4" s="2">
        <f t="shared" si="8"/>
        <v>0.21032504767999999</v>
      </c>
      <c r="N4" s="1">
        <f>CONVERT(80,"mm","ft")</f>
        <v>0.26246719160104987</v>
      </c>
      <c r="O4" s="1">
        <f t="shared" si="9"/>
        <v>0.17034789728999999</v>
      </c>
      <c r="P4" s="1">
        <f t="shared" ref="P4:P5" si="10">40*0.062427961</f>
        <v>2.4971184399999999</v>
      </c>
      <c r="Q4" s="1">
        <f t="shared" ref="Q4:Q5" si="11">1590* 0.000239005736</f>
        <v>0.38001912024000001</v>
      </c>
      <c r="R4" s="1">
        <f t="shared" si="0"/>
        <v>4.4710734196850392E-2</v>
      </c>
      <c r="S4" s="1">
        <f t="shared" si="9"/>
        <v>0.17034789728999999</v>
      </c>
      <c r="T4" s="1">
        <v>1.6E-2</v>
      </c>
      <c r="U4">
        <v>2.1800000000000002</v>
      </c>
      <c r="V4">
        <v>0.28999999999999998</v>
      </c>
    </row>
    <row r="5" spans="1:22" x14ac:dyDescent="0.3">
      <c r="A5" s="7" t="s">
        <v>53</v>
      </c>
      <c r="B5" t="s">
        <v>39</v>
      </c>
      <c r="C5" t="s">
        <v>82</v>
      </c>
      <c r="D5" t="s">
        <v>83</v>
      </c>
      <c r="E5" s="6" t="s">
        <v>9</v>
      </c>
      <c r="F5" s="1">
        <f t="shared" si="1"/>
        <v>6.5616797900262466E-2</v>
      </c>
      <c r="G5" s="1">
        <f t="shared" si="2"/>
        <v>4.0883495349599999</v>
      </c>
      <c r="H5" s="1">
        <f t="shared" si="3"/>
        <v>109.99806728199999</v>
      </c>
      <c r="I5" s="1">
        <f t="shared" si="4"/>
        <v>0.20076481824</v>
      </c>
      <c r="J5" s="1">
        <f t="shared" si="5"/>
        <v>118.11370221199999</v>
      </c>
      <c r="K5" s="4">
        <f t="shared" si="6"/>
        <v>0.26246719160104987</v>
      </c>
      <c r="L5" s="1">
        <f t="shared" si="7"/>
        <v>4.5426105944000001</v>
      </c>
      <c r="M5" s="2">
        <f t="shared" si="8"/>
        <v>0.21032504767999999</v>
      </c>
      <c r="N5" s="1">
        <f>CONVERT(100,"mm","ft")</f>
        <v>0.32808398950131235</v>
      </c>
      <c r="O5" s="1">
        <f t="shared" si="9"/>
        <v>0.17034789728999999</v>
      </c>
      <c r="P5" s="1">
        <f t="shared" si="10"/>
        <v>2.4971184399999999</v>
      </c>
      <c r="Q5" s="1">
        <f t="shared" si="11"/>
        <v>0.38001912024000001</v>
      </c>
      <c r="R5" s="1">
        <f t="shared" si="0"/>
        <v>5.5888417746062992E-2</v>
      </c>
      <c r="S5" s="1">
        <f t="shared" si="9"/>
        <v>0.17034789728999999</v>
      </c>
      <c r="T5" s="1">
        <v>1.6E-2</v>
      </c>
      <c r="U5">
        <v>2.1800000000000002</v>
      </c>
      <c r="V5">
        <v>0.28999999999999998</v>
      </c>
    </row>
    <row r="6" spans="1:22" x14ac:dyDescent="0.3">
      <c r="A6" s="7" t="s">
        <v>54</v>
      </c>
      <c r="B6" t="s">
        <v>39</v>
      </c>
      <c r="C6" t="s">
        <v>82</v>
      </c>
      <c r="D6" t="s">
        <v>83</v>
      </c>
      <c r="E6" s="6" t="s">
        <v>9</v>
      </c>
      <c r="F6" s="1">
        <f t="shared" si="1"/>
        <v>6.5616797900262466E-2</v>
      </c>
      <c r="G6" s="1">
        <f t="shared" si="2"/>
        <v>4.0883495349599999</v>
      </c>
      <c r="H6" s="1">
        <f t="shared" si="3"/>
        <v>109.99806728199999</v>
      </c>
      <c r="I6" s="1">
        <f t="shared" si="4"/>
        <v>0.20076481824</v>
      </c>
      <c r="J6" s="1">
        <f t="shared" si="5"/>
        <v>118.11370221199999</v>
      </c>
      <c r="K6" s="4">
        <f t="shared" si="6"/>
        <v>0.26246719160104987</v>
      </c>
      <c r="L6" s="1">
        <f t="shared" si="7"/>
        <v>4.5426105944000001</v>
      </c>
      <c r="M6" s="2">
        <f t="shared" si="8"/>
        <v>0.21032504767999999</v>
      </c>
      <c r="N6" s="1">
        <f>CONVERT(10,"mm","ft")</f>
        <v>3.2808398950131233E-2</v>
      </c>
      <c r="O6" s="1">
        <f t="shared" ref="O6:S12" si="12">0.04*5.678263243</f>
        <v>0.22713052972</v>
      </c>
      <c r="P6" s="1">
        <f t="shared" ref="P6:P12" si="13">28*0.062427961</f>
        <v>1.747982908</v>
      </c>
      <c r="Q6" s="1">
        <f t="shared" ref="Q6:Q12" si="14">1213* 0.000239005736</f>
        <v>0.289913957768</v>
      </c>
      <c r="R6" s="1">
        <f t="shared" si="0"/>
        <v>7.4517890328083987E-3</v>
      </c>
      <c r="S6" s="1">
        <f t="shared" si="12"/>
        <v>0.22713052972</v>
      </c>
      <c r="T6" s="1">
        <v>1.6E-2</v>
      </c>
      <c r="U6">
        <v>2.1800000000000002</v>
      </c>
      <c r="V6">
        <v>0.28999999999999998</v>
      </c>
    </row>
    <row r="7" spans="1:22" x14ac:dyDescent="0.3">
      <c r="A7" s="7" t="s">
        <v>55</v>
      </c>
      <c r="B7" t="s">
        <v>39</v>
      </c>
      <c r="C7" t="s">
        <v>82</v>
      </c>
      <c r="D7" t="s">
        <v>83</v>
      </c>
      <c r="E7" s="6" t="s">
        <v>9</v>
      </c>
      <c r="F7" s="1">
        <f t="shared" si="1"/>
        <v>6.5616797900262466E-2</v>
      </c>
      <c r="G7" s="1">
        <f t="shared" si="2"/>
        <v>4.0883495349599999</v>
      </c>
      <c r="H7" s="1">
        <f t="shared" si="3"/>
        <v>109.99806728199999</v>
      </c>
      <c r="I7" s="1">
        <f t="shared" si="4"/>
        <v>0.20076481824</v>
      </c>
      <c r="J7" s="1">
        <f t="shared" si="5"/>
        <v>118.11370221199999</v>
      </c>
      <c r="K7" s="4">
        <f t="shared" si="6"/>
        <v>0.26246719160104987</v>
      </c>
      <c r="L7" s="1">
        <f t="shared" si="7"/>
        <v>4.5426105944000001</v>
      </c>
      <c r="M7" s="2">
        <f t="shared" si="8"/>
        <v>0.21032504767999999</v>
      </c>
      <c r="N7" s="1">
        <f t="shared" ref="N7" si="15">CONVERT(10,"mm","ft")</f>
        <v>3.2808398950131233E-2</v>
      </c>
      <c r="O7" s="1">
        <f t="shared" si="12"/>
        <v>0.22713052972</v>
      </c>
      <c r="P7" s="1">
        <f t="shared" si="13"/>
        <v>1.747982908</v>
      </c>
      <c r="Q7" s="1">
        <f t="shared" si="14"/>
        <v>0.289913957768</v>
      </c>
      <c r="R7" s="1">
        <f t="shared" si="0"/>
        <v>7.4517890328083987E-3</v>
      </c>
      <c r="S7" s="1">
        <f t="shared" si="12"/>
        <v>0.22713052972</v>
      </c>
      <c r="T7" s="1">
        <v>1.6E-2</v>
      </c>
      <c r="U7">
        <v>2.1800000000000002</v>
      </c>
      <c r="V7">
        <v>0.28999999999999998</v>
      </c>
    </row>
    <row r="8" spans="1:22" x14ac:dyDescent="0.3">
      <c r="A8" s="7" t="s">
        <v>56</v>
      </c>
      <c r="B8" t="s">
        <v>39</v>
      </c>
      <c r="C8" t="s">
        <v>82</v>
      </c>
      <c r="D8" t="s">
        <v>83</v>
      </c>
      <c r="E8" s="6" t="s">
        <v>9</v>
      </c>
      <c r="F8" s="1">
        <f t="shared" si="1"/>
        <v>6.5616797900262466E-2</v>
      </c>
      <c r="G8" s="1">
        <f t="shared" si="2"/>
        <v>4.0883495349599999</v>
      </c>
      <c r="H8" s="1">
        <f t="shared" si="3"/>
        <v>109.99806728199999</v>
      </c>
      <c r="I8" s="1">
        <f t="shared" si="4"/>
        <v>0.20076481824</v>
      </c>
      <c r="J8" s="1">
        <f t="shared" si="5"/>
        <v>118.11370221199999</v>
      </c>
      <c r="K8" s="4">
        <f t="shared" si="6"/>
        <v>0.26246719160104987</v>
      </c>
      <c r="L8" s="1">
        <f t="shared" si="7"/>
        <v>4.5426105944000001</v>
      </c>
      <c r="M8" s="2">
        <f t="shared" si="8"/>
        <v>0.21032504767999999</v>
      </c>
      <c r="N8" s="1">
        <f t="shared" ref="N8:N9" si="16">CONVERT(20,"mm","ft")</f>
        <v>6.5616797900262466E-2</v>
      </c>
      <c r="O8" s="1">
        <f t="shared" si="12"/>
        <v>0.22713052972</v>
      </c>
      <c r="P8" s="1">
        <f t="shared" si="13"/>
        <v>1.747982908</v>
      </c>
      <c r="Q8" s="1">
        <f t="shared" si="14"/>
        <v>0.289913957768</v>
      </c>
      <c r="R8" s="1">
        <f t="shared" si="0"/>
        <v>1.4903578065616797E-2</v>
      </c>
      <c r="S8" s="1">
        <f t="shared" si="12"/>
        <v>0.22713052972</v>
      </c>
      <c r="T8" s="1">
        <v>1.6E-2</v>
      </c>
      <c r="U8">
        <v>2.1800000000000002</v>
      </c>
      <c r="V8">
        <v>0.28999999999999998</v>
      </c>
    </row>
    <row r="9" spans="1:22" x14ac:dyDescent="0.3">
      <c r="A9" s="7" t="s">
        <v>57</v>
      </c>
      <c r="B9" t="s">
        <v>39</v>
      </c>
      <c r="C9" t="s">
        <v>82</v>
      </c>
      <c r="D9" t="s">
        <v>83</v>
      </c>
      <c r="E9" s="6" t="s">
        <v>9</v>
      </c>
      <c r="F9" s="1">
        <f t="shared" si="1"/>
        <v>6.5616797900262466E-2</v>
      </c>
      <c r="G9" s="1">
        <f t="shared" si="2"/>
        <v>4.0883495349599999</v>
      </c>
      <c r="H9" s="1">
        <f t="shared" si="3"/>
        <v>109.99806728199999</v>
      </c>
      <c r="I9" s="1">
        <f t="shared" si="4"/>
        <v>0.20076481824</v>
      </c>
      <c r="J9" s="1">
        <f t="shared" si="5"/>
        <v>118.11370221199999</v>
      </c>
      <c r="K9" s="4">
        <f t="shared" si="6"/>
        <v>0.26246719160104987</v>
      </c>
      <c r="L9" s="1">
        <f t="shared" si="7"/>
        <v>4.5426105944000001</v>
      </c>
      <c r="M9" s="2">
        <f t="shared" si="8"/>
        <v>0.21032504767999999</v>
      </c>
      <c r="N9" s="1">
        <f t="shared" si="16"/>
        <v>6.5616797900262466E-2</v>
      </c>
      <c r="O9" s="1">
        <f t="shared" si="12"/>
        <v>0.22713052972</v>
      </c>
      <c r="P9" s="1">
        <f t="shared" si="13"/>
        <v>1.747982908</v>
      </c>
      <c r="Q9" s="1">
        <f t="shared" si="14"/>
        <v>0.289913957768</v>
      </c>
      <c r="R9" s="1">
        <f t="shared" si="0"/>
        <v>1.4903578065616797E-2</v>
      </c>
      <c r="S9" s="1">
        <f>0.04*5.678263243</f>
        <v>0.22713052972</v>
      </c>
      <c r="T9" s="1">
        <v>1.6E-2</v>
      </c>
      <c r="U9">
        <v>2.1800000000000002</v>
      </c>
      <c r="V9">
        <v>0.28999999999999998</v>
      </c>
    </row>
    <row r="10" spans="1:22" x14ac:dyDescent="0.3">
      <c r="A10" s="7" t="s">
        <v>58</v>
      </c>
      <c r="B10" t="s">
        <v>39</v>
      </c>
      <c r="C10" t="s">
        <v>82</v>
      </c>
      <c r="D10" t="s">
        <v>83</v>
      </c>
      <c r="E10" s="6" t="s">
        <v>9</v>
      </c>
      <c r="F10" s="1">
        <f t="shared" si="1"/>
        <v>6.5616797900262466E-2</v>
      </c>
      <c r="G10" s="1">
        <f t="shared" si="2"/>
        <v>4.0883495349599999</v>
      </c>
      <c r="H10" s="1">
        <f t="shared" si="3"/>
        <v>109.99806728199999</v>
      </c>
      <c r="I10" s="1">
        <f t="shared" si="4"/>
        <v>0.20076481824</v>
      </c>
      <c r="J10" s="1">
        <f t="shared" si="5"/>
        <v>118.11370221199999</v>
      </c>
      <c r="K10" s="4">
        <f t="shared" si="6"/>
        <v>0.26246719160104987</v>
      </c>
      <c r="L10" s="1">
        <f t="shared" si="7"/>
        <v>4.5426105944000001</v>
      </c>
      <c r="M10" s="2">
        <f t="shared" si="8"/>
        <v>0.21032504767999999</v>
      </c>
      <c r="N10" s="1">
        <f>CONVERT(30,"mm","ft")</f>
        <v>9.8425196850393706E-2</v>
      </c>
      <c r="O10" s="1">
        <f t="shared" si="12"/>
        <v>0.22713052972</v>
      </c>
      <c r="P10" s="1">
        <f t="shared" si="13"/>
        <v>1.747982908</v>
      </c>
      <c r="Q10" s="1">
        <f t="shared" si="14"/>
        <v>0.289913957768</v>
      </c>
      <c r="R10" s="1">
        <f t="shared" si="0"/>
        <v>2.23553670984252E-2</v>
      </c>
      <c r="S10" s="1">
        <f t="shared" si="12"/>
        <v>0.22713052972</v>
      </c>
      <c r="T10" s="1">
        <v>1.6E-2</v>
      </c>
      <c r="U10">
        <v>2.1800000000000002</v>
      </c>
      <c r="V10">
        <v>0.28999999999999998</v>
      </c>
    </row>
    <row r="11" spans="1:22" x14ac:dyDescent="0.3">
      <c r="A11" s="7" t="s">
        <v>59</v>
      </c>
      <c r="B11" t="s">
        <v>39</v>
      </c>
      <c r="C11" t="s">
        <v>82</v>
      </c>
      <c r="D11" t="s">
        <v>83</v>
      </c>
      <c r="E11" s="6" t="s">
        <v>9</v>
      </c>
      <c r="F11" s="1">
        <f t="shared" si="1"/>
        <v>6.5616797900262466E-2</v>
      </c>
      <c r="G11" s="1">
        <f t="shared" si="2"/>
        <v>4.0883495349599999</v>
      </c>
      <c r="H11" s="1">
        <f t="shared" si="3"/>
        <v>109.99806728199999</v>
      </c>
      <c r="I11" s="1">
        <f t="shared" si="4"/>
        <v>0.20076481824</v>
      </c>
      <c r="J11" s="1">
        <f t="shared" si="5"/>
        <v>118.11370221199999</v>
      </c>
      <c r="K11" s="4">
        <f t="shared" si="6"/>
        <v>0.26246719160104987</v>
      </c>
      <c r="L11" s="1">
        <f t="shared" si="7"/>
        <v>4.5426105944000001</v>
      </c>
      <c r="M11" s="2">
        <f t="shared" si="8"/>
        <v>0.21032504767999999</v>
      </c>
      <c r="N11" s="1">
        <f>CONVERT(50,"mm","ft")</f>
        <v>0.16404199475065617</v>
      </c>
      <c r="O11" s="1">
        <f t="shared" si="12"/>
        <v>0.22713052972</v>
      </c>
      <c r="P11" s="1">
        <f t="shared" si="13"/>
        <v>1.747982908</v>
      </c>
      <c r="Q11" s="1">
        <f t="shared" si="14"/>
        <v>0.289913957768</v>
      </c>
      <c r="R11" s="1">
        <f t="shared" si="0"/>
        <v>3.7258945164041997E-2</v>
      </c>
      <c r="S11" s="1">
        <f t="shared" si="12"/>
        <v>0.22713052972</v>
      </c>
      <c r="T11" s="1">
        <v>1.6E-2</v>
      </c>
      <c r="U11">
        <v>2.1800000000000002</v>
      </c>
      <c r="V11">
        <v>0.28999999999999998</v>
      </c>
    </row>
    <row r="12" spans="1:22" x14ac:dyDescent="0.3">
      <c r="A12" s="7" t="s">
        <v>60</v>
      </c>
      <c r="B12" t="s">
        <v>39</v>
      </c>
      <c r="C12" t="s">
        <v>82</v>
      </c>
      <c r="D12" t="s">
        <v>83</v>
      </c>
      <c r="E12" s="6" t="s">
        <v>9</v>
      </c>
      <c r="F12" s="1">
        <f t="shared" si="1"/>
        <v>6.5616797900262466E-2</v>
      </c>
      <c r="G12" s="1">
        <f t="shared" si="2"/>
        <v>4.0883495349599999</v>
      </c>
      <c r="H12" s="1">
        <f t="shared" si="3"/>
        <v>109.99806728199999</v>
      </c>
      <c r="I12" s="1">
        <f t="shared" si="4"/>
        <v>0.20076481824</v>
      </c>
      <c r="J12" s="1">
        <f t="shared" si="5"/>
        <v>118.11370221199999</v>
      </c>
      <c r="K12" s="4">
        <f t="shared" si="6"/>
        <v>0.26246719160104987</v>
      </c>
      <c r="L12" s="1">
        <f t="shared" si="7"/>
        <v>4.5426105944000001</v>
      </c>
      <c r="M12" s="2">
        <f t="shared" si="8"/>
        <v>0.21032504767999999</v>
      </c>
      <c r="N12" s="1">
        <f>CONVERT(80,"mm","ft")</f>
        <v>0.26246719160104987</v>
      </c>
      <c r="O12" s="1">
        <f t="shared" si="12"/>
        <v>0.22713052972</v>
      </c>
      <c r="P12" s="1">
        <f t="shared" si="13"/>
        <v>1.747982908</v>
      </c>
      <c r="Q12" s="1">
        <f t="shared" si="14"/>
        <v>0.289913957768</v>
      </c>
      <c r="R12" s="1">
        <f t="shared" si="0"/>
        <v>5.961431226246719E-2</v>
      </c>
      <c r="S12" s="1">
        <f t="shared" si="12"/>
        <v>0.22713052972</v>
      </c>
      <c r="T12" s="1">
        <v>1.6E-2</v>
      </c>
      <c r="U12">
        <v>2.1800000000000002</v>
      </c>
      <c r="V12">
        <v>0.28999999999999998</v>
      </c>
    </row>
    <row r="13" spans="1:22" x14ac:dyDescent="0.3">
      <c r="A13" s="9" t="s">
        <v>30</v>
      </c>
      <c r="B13" t="s">
        <v>39</v>
      </c>
      <c r="C13" t="s">
        <v>82</v>
      </c>
      <c r="D13" t="s">
        <v>83</v>
      </c>
      <c r="E13" s="6" t="s">
        <v>9</v>
      </c>
      <c r="F13" s="4">
        <f>CONVERT(20,"mm","ft")</f>
        <v>6.5616797900262466E-2</v>
      </c>
      <c r="G13" s="1">
        <f>0.72*5.678263243</f>
        <v>4.0883495349599999</v>
      </c>
      <c r="H13" s="1">
        <f>1762*0.062427961</f>
        <v>109.99806728199999</v>
      </c>
      <c r="I13" s="1">
        <f>840* 0.000239005736</f>
        <v>0.20076481824</v>
      </c>
      <c r="J13" s="1">
        <f>1892*0.062427961</f>
        <v>118.11370221199999</v>
      </c>
      <c r="K13" s="4">
        <f>CONVERT(80,"mm","ft")</f>
        <v>0.26246719160104987</v>
      </c>
      <c r="L13" s="1">
        <f>0.8*5.678263243</f>
        <v>4.5426105944000001</v>
      </c>
      <c r="M13" s="2">
        <f>880* 0.000239005736</f>
        <v>0.21032504767999999</v>
      </c>
      <c r="N13" s="4">
        <f>CONVERT(150,"mm","ft")</f>
        <v>0.49212598425196852</v>
      </c>
      <c r="O13" s="1">
        <f>1.58*5.678263243</f>
        <v>8.9716559239400002</v>
      </c>
      <c r="P13" s="1">
        <f>2288*0.062427961</f>
        <v>142.835174768</v>
      </c>
      <c r="Q13" s="1">
        <f>880* 0.000239005736</f>
        <v>0.21032504767999999</v>
      </c>
      <c r="R13" s="1">
        <f t="shared" ref="R13:R23" si="17">N13*S13</f>
        <v>4.4151850019389762</v>
      </c>
      <c r="S13" s="1">
        <f>1.58*5.678263243</f>
        <v>8.9716559239400002</v>
      </c>
      <c r="T13" s="1">
        <v>1.6E-2</v>
      </c>
      <c r="U13">
        <v>2.1800000000000002</v>
      </c>
      <c r="V13">
        <v>0.28999999999999998</v>
      </c>
    </row>
    <row r="14" spans="1:22" x14ac:dyDescent="0.3">
      <c r="A14" s="7" t="s">
        <v>50</v>
      </c>
      <c r="B14" t="s">
        <v>39</v>
      </c>
      <c r="C14" t="s">
        <v>82</v>
      </c>
      <c r="D14" t="s">
        <v>83</v>
      </c>
      <c r="E14" s="6" t="s">
        <v>9</v>
      </c>
      <c r="F14" s="1">
        <f t="shared" si="1"/>
        <v>6.5616797900262466E-2</v>
      </c>
      <c r="G14" s="1">
        <f t="shared" si="2"/>
        <v>4.0883495349599999</v>
      </c>
      <c r="H14" s="1">
        <f t="shared" si="3"/>
        <v>109.99806728199999</v>
      </c>
      <c r="I14" s="1">
        <f t="shared" si="4"/>
        <v>0.20076481824</v>
      </c>
      <c r="J14" s="1">
        <f t="shared" si="5"/>
        <v>118.11370221199999</v>
      </c>
      <c r="K14" s="4">
        <f t="shared" si="6"/>
        <v>0.26246719160104987</v>
      </c>
      <c r="L14" s="1">
        <f t="shared" si="7"/>
        <v>4.5426105944000001</v>
      </c>
      <c r="M14" s="2">
        <f t="shared" si="8"/>
        <v>0.21032504767999999</v>
      </c>
      <c r="N14" s="1">
        <f>CONVERT(30,"mm","ft")</f>
        <v>9.8425196850393706E-2</v>
      </c>
      <c r="O14" s="1">
        <f t="shared" ref="O14:S16" si="18">0.03*5.678263243</f>
        <v>0.17034789728999999</v>
      </c>
      <c r="P14" s="1">
        <f>40*0.062427961</f>
        <v>2.4971184399999999</v>
      </c>
      <c r="Q14" s="1">
        <f>1590* 0.000239005736</f>
        <v>0.38001912024000001</v>
      </c>
      <c r="R14" s="1">
        <f t="shared" si="17"/>
        <v>1.67665253238189E-2</v>
      </c>
      <c r="S14" s="1">
        <f t="shared" si="18"/>
        <v>0.17034789728999999</v>
      </c>
      <c r="T14" s="1">
        <v>1.6E-2</v>
      </c>
      <c r="U14">
        <v>2.1800000000000002</v>
      </c>
      <c r="V14">
        <v>0.28999999999999998</v>
      </c>
    </row>
    <row r="15" spans="1:22" x14ac:dyDescent="0.3">
      <c r="A15" s="7" t="s">
        <v>52</v>
      </c>
      <c r="B15" t="s">
        <v>39</v>
      </c>
      <c r="C15" t="s">
        <v>82</v>
      </c>
      <c r="D15" t="s">
        <v>83</v>
      </c>
      <c r="E15" s="6" t="s">
        <v>9</v>
      </c>
      <c r="F15" s="1">
        <f t="shared" si="1"/>
        <v>6.5616797900262466E-2</v>
      </c>
      <c r="G15" s="1">
        <f t="shared" si="2"/>
        <v>4.0883495349599999</v>
      </c>
      <c r="H15" s="1">
        <f t="shared" si="3"/>
        <v>109.99806728199999</v>
      </c>
      <c r="I15" s="1">
        <f t="shared" si="4"/>
        <v>0.20076481824</v>
      </c>
      <c r="J15" s="1">
        <f t="shared" si="5"/>
        <v>118.11370221199999</v>
      </c>
      <c r="K15" s="4">
        <f t="shared" si="6"/>
        <v>0.26246719160104987</v>
      </c>
      <c r="L15" s="1">
        <f t="shared" si="7"/>
        <v>4.5426105944000001</v>
      </c>
      <c r="M15" s="2">
        <f t="shared" si="8"/>
        <v>0.21032504767999999</v>
      </c>
      <c r="N15" s="1">
        <f>CONVERT(80,"mm","ft")</f>
        <v>0.26246719160104987</v>
      </c>
      <c r="O15" s="1">
        <f t="shared" si="18"/>
        <v>0.17034789728999999</v>
      </c>
      <c r="P15" s="1">
        <f t="shared" ref="P15:P16" si="19">40*0.062427961</f>
        <v>2.4971184399999999</v>
      </c>
      <c r="Q15" s="1">
        <f t="shared" ref="Q15:Q16" si="20">1590* 0.000239005736</f>
        <v>0.38001912024000001</v>
      </c>
      <c r="R15" s="1">
        <f t="shared" si="17"/>
        <v>4.4710734196850392E-2</v>
      </c>
      <c r="S15" s="1">
        <f t="shared" si="18"/>
        <v>0.17034789728999999</v>
      </c>
      <c r="T15" s="1">
        <v>1.6E-2</v>
      </c>
      <c r="U15">
        <v>2.1800000000000002</v>
      </c>
      <c r="V15">
        <v>0.28999999999999998</v>
      </c>
    </row>
    <row r="16" spans="1:22" x14ac:dyDescent="0.3">
      <c r="A16" s="7" t="s">
        <v>53</v>
      </c>
      <c r="B16" t="s">
        <v>39</v>
      </c>
      <c r="C16" t="s">
        <v>82</v>
      </c>
      <c r="D16" t="s">
        <v>83</v>
      </c>
      <c r="E16" s="6" t="s">
        <v>9</v>
      </c>
      <c r="F16" s="1">
        <f t="shared" si="1"/>
        <v>6.5616797900262466E-2</v>
      </c>
      <c r="G16" s="1">
        <f t="shared" si="2"/>
        <v>4.0883495349599999</v>
      </c>
      <c r="H16" s="1">
        <f t="shared" si="3"/>
        <v>109.99806728199999</v>
      </c>
      <c r="I16" s="1">
        <f t="shared" si="4"/>
        <v>0.20076481824</v>
      </c>
      <c r="J16" s="1">
        <f t="shared" si="5"/>
        <v>118.11370221199999</v>
      </c>
      <c r="K16" s="4">
        <f t="shared" si="6"/>
        <v>0.26246719160104987</v>
      </c>
      <c r="L16" s="1">
        <f t="shared" si="7"/>
        <v>4.5426105944000001</v>
      </c>
      <c r="M16" s="2">
        <f t="shared" si="8"/>
        <v>0.21032504767999999</v>
      </c>
      <c r="N16" s="1">
        <f>CONVERT(100,"mm","ft")</f>
        <v>0.32808398950131235</v>
      </c>
      <c r="O16" s="1">
        <f t="shared" si="18"/>
        <v>0.17034789728999999</v>
      </c>
      <c r="P16" s="1">
        <f t="shared" si="19"/>
        <v>2.4971184399999999</v>
      </c>
      <c r="Q16" s="1">
        <f t="shared" si="20"/>
        <v>0.38001912024000001</v>
      </c>
      <c r="R16" s="1">
        <f t="shared" si="17"/>
        <v>5.5888417746062992E-2</v>
      </c>
      <c r="S16" s="1">
        <f t="shared" si="18"/>
        <v>0.17034789728999999</v>
      </c>
      <c r="T16" s="1">
        <v>1.6E-2</v>
      </c>
      <c r="U16">
        <v>2.1800000000000002</v>
      </c>
      <c r="V16">
        <v>0.28999999999999998</v>
      </c>
    </row>
    <row r="17" spans="1:22" x14ac:dyDescent="0.3">
      <c r="A17" s="7" t="s">
        <v>54</v>
      </c>
      <c r="B17" t="s">
        <v>39</v>
      </c>
      <c r="C17" t="s">
        <v>82</v>
      </c>
      <c r="D17" t="s">
        <v>83</v>
      </c>
      <c r="E17" s="6" t="s">
        <v>9</v>
      </c>
      <c r="F17" s="1">
        <f t="shared" si="1"/>
        <v>6.5616797900262466E-2</v>
      </c>
      <c r="G17" s="1">
        <f t="shared" si="2"/>
        <v>4.0883495349599999</v>
      </c>
      <c r="H17" s="1">
        <f t="shared" si="3"/>
        <v>109.99806728199999</v>
      </c>
      <c r="I17" s="1">
        <f t="shared" si="4"/>
        <v>0.20076481824</v>
      </c>
      <c r="J17" s="1">
        <f t="shared" si="5"/>
        <v>118.11370221199999</v>
      </c>
      <c r="K17" s="4">
        <f t="shared" si="6"/>
        <v>0.26246719160104987</v>
      </c>
      <c r="L17" s="1">
        <f t="shared" si="7"/>
        <v>4.5426105944000001</v>
      </c>
      <c r="M17" s="2">
        <f t="shared" si="8"/>
        <v>0.21032504767999999</v>
      </c>
      <c r="N17" s="1">
        <f>CONVERT(10,"mm","ft")</f>
        <v>3.2808398950131233E-2</v>
      </c>
      <c r="O17" s="1">
        <f t="shared" ref="O17:S23" si="21">0.04*5.678263243</f>
        <v>0.22713052972</v>
      </c>
      <c r="P17" s="1">
        <f t="shared" ref="P17:P23" si="22">28*0.062427961</f>
        <v>1.747982908</v>
      </c>
      <c r="Q17" s="1">
        <f t="shared" ref="Q17:Q23" si="23">1213* 0.000239005736</f>
        <v>0.289913957768</v>
      </c>
      <c r="R17" s="1">
        <f t="shared" si="17"/>
        <v>7.4517890328083987E-3</v>
      </c>
      <c r="S17" s="1">
        <f t="shared" si="21"/>
        <v>0.22713052972</v>
      </c>
      <c r="T17" s="1">
        <v>1.6E-2</v>
      </c>
      <c r="U17">
        <v>2.1800000000000002</v>
      </c>
      <c r="V17">
        <v>0.28999999999999998</v>
      </c>
    </row>
    <row r="18" spans="1:22" x14ac:dyDescent="0.3">
      <c r="A18" s="7" t="s">
        <v>55</v>
      </c>
      <c r="B18" t="s">
        <v>39</v>
      </c>
      <c r="C18" t="s">
        <v>82</v>
      </c>
      <c r="D18" t="s">
        <v>83</v>
      </c>
      <c r="E18" s="6" t="s">
        <v>9</v>
      </c>
      <c r="F18" s="1">
        <f t="shared" si="1"/>
        <v>6.5616797900262466E-2</v>
      </c>
      <c r="G18" s="1">
        <f t="shared" si="2"/>
        <v>4.0883495349599999</v>
      </c>
      <c r="H18" s="1">
        <f t="shared" si="3"/>
        <v>109.99806728199999</v>
      </c>
      <c r="I18" s="1">
        <f t="shared" si="4"/>
        <v>0.20076481824</v>
      </c>
      <c r="J18" s="1">
        <f t="shared" si="5"/>
        <v>118.11370221199999</v>
      </c>
      <c r="K18" s="4">
        <f t="shared" si="6"/>
        <v>0.26246719160104987</v>
      </c>
      <c r="L18" s="1">
        <f t="shared" si="7"/>
        <v>4.5426105944000001</v>
      </c>
      <c r="M18" s="2">
        <f t="shared" si="8"/>
        <v>0.21032504767999999</v>
      </c>
      <c r="N18" s="1">
        <f t="shared" ref="N18" si="24">CONVERT(10,"mm","ft")</f>
        <v>3.2808398950131233E-2</v>
      </c>
      <c r="O18" s="1">
        <f t="shared" si="21"/>
        <v>0.22713052972</v>
      </c>
      <c r="P18" s="1">
        <f t="shared" si="22"/>
        <v>1.747982908</v>
      </c>
      <c r="Q18" s="1">
        <f t="shared" si="23"/>
        <v>0.289913957768</v>
      </c>
      <c r="R18" s="1">
        <f t="shared" si="17"/>
        <v>7.4517890328083987E-3</v>
      </c>
      <c r="S18" s="1">
        <f t="shared" si="21"/>
        <v>0.22713052972</v>
      </c>
      <c r="T18" s="1">
        <v>1.6E-2</v>
      </c>
      <c r="U18">
        <v>2.1800000000000002</v>
      </c>
      <c r="V18">
        <v>0.28999999999999998</v>
      </c>
    </row>
    <row r="19" spans="1:22" x14ac:dyDescent="0.3">
      <c r="A19" s="7" t="s">
        <v>56</v>
      </c>
      <c r="B19" t="s">
        <v>39</v>
      </c>
      <c r="C19" t="s">
        <v>82</v>
      </c>
      <c r="D19" t="s">
        <v>83</v>
      </c>
      <c r="E19" s="6" t="s">
        <v>9</v>
      </c>
      <c r="F19" s="1">
        <f t="shared" si="1"/>
        <v>6.5616797900262466E-2</v>
      </c>
      <c r="G19" s="1">
        <f t="shared" si="2"/>
        <v>4.0883495349599999</v>
      </c>
      <c r="H19" s="1">
        <f t="shared" si="3"/>
        <v>109.99806728199999</v>
      </c>
      <c r="I19" s="1">
        <f t="shared" si="4"/>
        <v>0.20076481824</v>
      </c>
      <c r="J19" s="1">
        <f t="shared" si="5"/>
        <v>118.11370221199999</v>
      </c>
      <c r="K19" s="4">
        <f t="shared" si="6"/>
        <v>0.26246719160104987</v>
      </c>
      <c r="L19" s="1">
        <f t="shared" si="7"/>
        <v>4.5426105944000001</v>
      </c>
      <c r="M19" s="2">
        <f t="shared" si="8"/>
        <v>0.21032504767999999</v>
      </c>
      <c r="N19" s="1">
        <f t="shared" ref="N19:N20" si="25">CONVERT(20,"mm","ft")</f>
        <v>6.5616797900262466E-2</v>
      </c>
      <c r="O19" s="1">
        <f t="shared" si="21"/>
        <v>0.22713052972</v>
      </c>
      <c r="P19" s="1">
        <f t="shared" si="22"/>
        <v>1.747982908</v>
      </c>
      <c r="Q19" s="1">
        <f t="shared" si="23"/>
        <v>0.289913957768</v>
      </c>
      <c r="R19" s="1">
        <f t="shared" si="17"/>
        <v>1.4903578065616797E-2</v>
      </c>
      <c r="S19" s="1">
        <f t="shared" si="21"/>
        <v>0.22713052972</v>
      </c>
      <c r="T19" s="1">
        <v>1.6E-2</v>
      </c>
      <c r="U19">
        <v>2.1800000000000002</v>
      </c>
      <c r="V19">
        <v>0.28999999999999998</v>
      </c>
    </row>
    <row r="20" spans="1:22" x14ac:dyDescent="0.3">
      <c r="A20" s="7" t="s">
        <v>57</v>
      </c>
      <c r="B20" t="s">
        <v>39</v>
      </c>
      <c r="C20" t="s">
        <v>82</v>
      </c>
      <c r="D20" t="s">
        <v>83</v>
      </c>
      <c r="E20" s="6" t="s">
        <v>9</v>
      </c>
      <c r="F20" s="1">
        <f t="shared" si="1"/>
        <v>6.5616797900262466E-2</v>
      </c>
      <c r="G20" s="1">
        <f t="shared" si="2"/>
        <v>4.0883495349599999</v>
      </c>
      <c r="H20" s="1">
        <f t="shared" si="3"/>
        <v>109.99806728199999</v>
      </c>
      <c r="I20" s="1">
        <f t="shared" si="4"/>
        <v>0.20076481824</v>
      </c>
      <c r="J20" s="1">
        <f t="shared" si="5"/>
        <v>118.11370221199999</v>
      </c>
      <c r="K20" s="4">
        <f t="shared" si="6"/>
        <v>0.26246719160104987</v>
      </c>
      <c r="L20" s="1">
        <f t="shared" si="7"/>
        <v>4.5426105944000001</v>
      </c>
      <c r="M20" s="2">
        <f t="shared" si="8"/>
        <v>0.21032504767999999</v>
      </c>
      <c r="N20" s="1">
        <f t="shared" si="25"/>
        <v>6.5616797900262466E-2</v>
      </c>
      <c r="O20" s="1">
        <f t="shared" si="21"/>
        <v>0.22713052972</v>
      </c>
      <c r="P20" s="1">
        <f t="shared" si="22"/>
        <v>1.747982908</v>
      </c>
      <c r="Q20" s="1">
        <f t="shared" si="23"/>
        <v>0.289913957768</v>
      </c>
      <c r="R20" s="1">
        <f t="shared" si="17"/>
        <v>1.4903578065616797E-2</v>
      </c>
      <c r="S20" s="1">
        <f>0.04*5.678263243</f>
        <v>0.22713052972</v>
      </c>
      <c r="T20" s="1">
        <v>1.6E-2</v>
      </c>
      <c r="U20">
        <v>2.1800000000000002</v>
      </c>
      <c r="V20">
        <v>0.28999999999999998</v>
      </c>
    </row>
    <row r="21" spans="1:22" x14ac:dyDescent="0.3">
      <c r="A21" s="7" t="s">
        <v>58</v>
      </c>
      <c r="B21" t="s">
        <v>39</v>
      </c>
      <c r="C21" t="s">
        <v>82</v>
      </c>
      <c r="D21" t="s">
        <v>83</v>
      </c>
      <c r="E21" s="6" t="s">
        <v>9</v>
      </c>
      <c r="F21" s="1">
        <f t="shared" si="1"/>
        <v>6.5616797900262466E-2</v>
      </c>
      <c r="G21" s="1">
        <f t="shared" si="2"/>
        <v>4.0883495349599999</v>
      </c>
      <c r="H21" s="1">
        <f t="shared" si="3"/>
        <v>109.99806728199999</v>
      </c>
      <c r="I21" s="1">
        <f t="shared" si="4"/>
        <v>0.20076481824</v>
      </c>
      <c r="J21" s="1">
        <f t="shared" si="5"/>
        <v>118.11370221199999</v>
      </c>
      <c r="K21" s="4">
        <f t="shared" si="6"/>
        <v>0.26246719160104987</v>
      </c>
      <c r="L21" s="1">
        <f t="shared" si="7"/>
        <v>4.5426105944000001</v>
      </c>
      <c r="M21" s="2">
        <f t="shared" si="8"/>
        <v>0.21032504767999999</v>
      </c>
      <c r="N21" s="1">
        <f>CONVERT(30,"mm","ft")</f>
        <v>9.8425196850393706E-2</v>
      </c>
      <c r="O21" s="1">
        <f t="shared" si="21"/>
        <v>0.22713052972</v>
      </c>
      <c r="P21" s="1">
        <f t="shared" si="22"/>
        <v>1.747982908</v>
      </c>
      <c r="Q21" s="1">
        <f t="shared" si="23"/>
        <v>0.289913957768</v>
      </c>
      <c r="R21" s="1">
        <f t="shared" si="17"/>
        <v>2.23553670984252E-2</v>
      </c>
      <c r="S21" s="1">
        <f t="shared" si="21"/>
        <v>0.22713052972</v>
      </c>
      <c r="T21" s="1">
        <v>1.6E-2</v>
      </c>
      <c r="U21">
        <v>2.1800000000000002</v>
      </c>
      <c r="V21">
        <v>0.28999999999999998</v>
      </c>
    </row>
    <row r="22" spans="1:22" x14ac:dyDescent="0.3">
      <c r="A22" s="7" t="s">
        <v>59</v>
      </c>
      <c r="B22" t="s">
        <v>39</v>
      </c>
      <c r="C22" t="s">
        <v>82</v>
      </c>
      <c r="D22" t="s">
        <v>83</v>
      </c>
      <c r="E22" s="6" t="s">
        <v>9</v>
      </c>
      <c r="F22" s="1">
        <f t="shared" si="1"/>
        <v>6.5616797900262466E-2</v>
      </c>
      <c r="G22" s="1">
        <f t="shared" si="2"/>
        <v>4.0883495349599999</v>
      </c>
      <c r="H22" s="1">
        <f t="shared" si="3"/>
        <v>109.99806728199999</v>
      </c>
      <c r="I22" s="1">
        <f t="shared" si="4"/>
        <v>0.20076481824</v>
      </c>
      <c r="J22" s="1">
        <f t="shared" si="5"/>
        <v>118.11370221199999</v>
      </c>
      <c r="K22" s="4">
        <f t="shared" si="6"/>
        <v>0.26246719160104987</v>
      </c>
      <c r="L22" s="1">
        <f t="shared" si="7"/>
        <v>4.5426105944000001</v>
      </c>
      <c r="M22" s="2">
        <f t="shared" si="8"/>
        <v>0.21032504767999999</v>
      </c>
      <c r="N22" s="1">
        <f>CONVERT(50,"mm","ft")</f>
        <v>0.16404199475065617</v>
      </c>
      <c r="O22" s="1">
        <f t="shared" si="21"/>
        <v>0.22713052972</v>
      </c>
      <c r="P22" s="1">
        <f t="shared" si="22"/>
        <v>1.747982908</v>
      </c>
      <c r="Q22" s="1">
        <f t="shared" si="23"/>
        <v>0.289913957768</v>
      </c>
      <c r="R22" s="1">
        <f t="shared" si="17"/>
        <v>3.7258945164041997E-2</v>
      </c>
      <c r="S22" s="1">
        <f t="shared" si="21"/>
        <v>0.22713052972</v>
      </c>
      <c r="T22" s="1">
        <v>1.6E-2</v>
      </c>
      <c r="U22">
        <v>2.1800000000000002</v>
      </c>
      <c r="V22">
        <v>0.28999999999999998</v>
      </c>
    </row>
    <row r="23" spans="1:22" x14ac:dyDescent="0.3">
      <c r="A23" s="7" t="s">
        <v>60</v>
      </c>
      <c r="B23" t="s">
        <v>39</v>
      </c>
      <c r="C23" t="s">
        <v>82</v>
      </c>
      <c r="D23" t="s">
        <v>83</v>
      </c>
      <c r="E23" s="6" t="s">
        <v>9</v>
      </c>
      <c r="F23" s="1">
        <f t="shared" si="1"/>
        <v>6.5616797900262466E-2</v>
      </c>
      <c r="G23" s="1">
        <f t="shared" si="2"/>
        <v>4.0883495349599999</v>
      </c>
      <c r="H23" s="1">
        <f t="shared" si="3"/>
        <v>109.99806728199999</v>
      </c>
      <c r="I23" s="1">
        <f t="shared" si="4"/>
        <v>0.20076481824</v>
      </c>
      <c r="J23" s="1">
        <f t="shared" si="5"/>
        <v>118.11370221199999</v>
      </c>
      <c r="K23" s="4">
        <f t="shared" si="6"/>
        <v>0.26246719160104987</v>
      </c>
      <c r="L23" s="1">
        <f t="shared" si="7"/>
        <v>4.5426105944000001</v>
      </c>
      <c r="M23" s="2">
        <f t="shared" si="8"/>
        <v>0.21032504767999999</v>
      </c>
      <c r="N23" s="1">
        <f>CONVERT(80,"mm","ft")</f>
        <v>0.26246719160104987</v>
      </c>
      <c r="O23" s="1">
        <f t="shared" si="21"/>
        <v>0.22713052972</v>
      </c>
      <c r="P23" s="1">
        <f t="shared" si="22"/>
        <v>1.747982908</v>
      </c>
      <c r="Q23" s="1">
        <f t="shared" si="23"/>
        <v>0.289913957768</v>
      </c>
      <c r="R23" s="1">
        <f t="shared" si="17"/>
        <v>5.961431226246719E-2</v>
      </c>
      <c r="S23" s="1">
        <f t="shared" si="21"/>
        <v>0.22713052972</v>
      </c>
      <c r="T23" s="1">
        <v>1.6E-2</v>
      </c>
      <c r="U23">
        <v>2.1800000000000002</v>
      </c>
      <c r="V23">
        <v>0.28999999999999998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0D49-2EBA-4C7B-9110-F11060216CFB}">
  <dimension ref="A1:B13"/>
  <sheetViews>
    <sheetView workbookViewId="0">
      <selection activeCell="H9" sqref="H9"/>
    </sheetView>
  </sheetViews>
  <sheetFormatPr defaultRowHeight="14.4" x14ac:dyDescent="0.3"/>
  <sheetData>
    <row r="1" spans="1:2" x14ac:dyDescent="0.3">
      <c r="A1" t="s">
        <v>4</v>
      </c>
      <c r="B1" t="s">
        <v>1</v>
      </c>
    </row>
    <row r="2" spans="1:2" x14ac:dyDescent="0.3">
      <c r="A2">
        <v>1</v>
      </c>
      <c r="B2">
        <v>2.5</v>
      </c>
    </row>
    <row r="3" spans="1:2" x14ac:dyDescent="0.3">
      <c r="A3">
        <v>2</v>
      </c>
      <c r="B3">
        <v>5</v>
      </c>
    </row>
    <row r="4" spans="1:2" x14ac:dyDescent="0.3">
      <c r="A4">
        <v>3</v>
      </c>
      <c r="B4">
        <f>B3+2.5</f>
        <v>7.5</v>
      </c>
    </row>
    <row r="5" spans="1:2" x14ac:dyDescent="0.3">
      <c r="A5">
        <v>4</v>
      </c>
      <c r="B5">
        <f t="shared" ref="B5:B13" si="0">B4+2.5</f>
        <v>10</v>
      </c>
    </row>
    <row r="6" spans="1:2" x14ac:dyDescent="0.3">
      <c r="A6">
        <v>5</v>
      </c>
      <c r="B6">
        <f t="shared" si="0"/>
        <v>12.5</v>
      </c>
    </row>
    <row r="7" spans="1:2" x14ac:dyDescent="0.3">
      <c r="A7">
        <v>6</v>
      </c>
      <c r="B7">
        <f t="shared" si="0"/>
        <v>15</v>
      </c>
    </row>
    <row r="8" spans="1:2" x14ac:dyDescent="0.3">
      <c r="A8">
        <v>7</v>
      </c>
      <c r="B8">
        <f t="shared" si="0"/>
        <v>17.5</v>
      </c>
    </row>
    <row r="9" spans="1:2" x14ac:dyDescent="0.3">
      <c r="A9">
        <v>8</v>
      </c>
      <c r="B9">
        <f t="shared" si="0"/>
        <v>20</v>
      </c>
    </row>
    <row r="10" spans="1:2" x14ac:dyDescent="0.3">
      <c r="A10">
        <v>9</v>
      </c>
      <c r="B10">
        <f t="shared" si="0"/>
        <v>22.5</v>
      </c>
    </row>
    <row r="11" spans="1:2" x14ac:dyDescent="0.3">
      <c r="A11">
        <v>10</v>
      </c>
      <c r="B11">
        <f t="shared" si="0"/>
        <v>25</v>
      </c>
    </row>
    <row r="12" spans="1:2" x14ac:dyDescent="0.3">
      <c r="A12">
        <v>11</v>
      </c>
      <c r="B12">
        <f t="shared" si="0"/>
        <v>27.5</v>
      </c>
    </row>
    <row r="13" spans="1:2" x14ac:dyDescent="0.3">
      <c r="A13">
        <v>12</v>
      </c>
      <c r="B13">
        <f t="shared" si="0"/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773F-50F5-4561-8039-1D065600D595}">
  <dimension ref="A1:C10"/>
  <sheetViews>
    <sheetView workbookViewId="0">
      <selection activeCell="C2" sqref="C2"/>
    </sheetView>
  </sheetViews>
  <sheetFormatPr defaultRowHeight="14.4" x14ac:dyDescent="0.3"/>
  <cols>
    <col min="1" max="1" width="2.6640625" bestFit="1" customWidth="1"/>
  </cols>
  <sheetData>
    <row r="1" spans="1:3" x14ac:dyDescent="0.3">
      <c r="A1" s="11" t="s">
        <v>4</v>
      </c>
      <c r="B1" s="11" t="s">
        <v>3</v>
      </c>
      <c r="C1" s="11" t="s">
        <v>2</v>
      </c>
    </row>
    <row r="2" spans="1:3" x14ac:dyDescent="0.3">
      <c r="A2" s="11">
        <v>0</v>
      </c>
      <c r="B2" s="11" t="s">
        <v>92</v>
      </c>
      <c r="C2" s="11" t="s">
        <v>92</v>
      </c>
    </row>
    <row r="3" spans="1:3" x14ac:dyDescent="0.3">
      <c r="A3" s="11">
        <v>1</v>
      </c>
      <c r="B3" s="11">
        <v>0.25</v>
      </c>
      <c r="C3" s="12">
        <f>B3*0.87</f>
        <v>0.2175</v>
      </c>
    </row>
    <row r="4" spans="1:3" x14ac:dyDescent="0.3">
      <c r="A4" s="11">
        <v>2</v>
      </c>
      <c r="B4" s="11">
        <v>0.3</v>
      </c>
      <c r="C4" s="12">
        <f t="shared" ref="C4:C10" si="0">B4*0.87</f>
        <v>0.26100000000000001</v>
      </c>
    </row>
    <row r="5" spans="1:3" x14ac:dyDescent="0.3">
      <c r="A5" s="11">
        <v>3</v>
      </c>
      <c r="B5" s="11">
        <v>0.4</v>
      </c>
      <c r="C5" s="12">
        <f t="shared" si="0"/>
        <v>0.34800000000000003</v>
      </c>
    </row>
    <row r="6" spans="1:3" x14ac:dyDescent="0.3">
      <c r="A6" s="11">
        <v>4</v>
      </c>
      <c r="B6" s="11">
        <v>0.5</v>
      </c>
      <c r="C6" s="12">
        <f t="shared" si="0"/>
        <v>0.435</v>
      </c>
    </row>
    <row r="7" spans="1:3" x14ac:dyDescent="0.3">
      <c r="A7" s="11">
        <v>5</v>
      </c>
      <c r="B7" s="11">
        <v>0.6</v>
      </c>
      <c r="C7" s="12">
        <f t="shared" si="0"/>
        <v>0.52200000000000002</v>
      </c>
    </row>
    <row r="8" spans="1:3" x14ac:dyDescent="0.3">
      <c r="A8" s="11">
        <v>6</v>
      </c>
      <c r="B8" s="11">
        <v>0.7</v>
      </c>
      <c r="C8" s="12">
        <f t="shared" si="0"/>
        <v>0.60899999999999999</v>
      </c>
    </row>
    <row r="9" spans="1:3" x14ac:dyDescent="0.3">
      <c r="A9" s="11">
        <v>7</v>
      </c>
      <c r="B9" s="11">
        <v>0.8</v>
      </c>
      <c r="C9" s="12">
        <f t="shared" si="0"/>
        <v>0.69600000000000006</v>
      </c>
    </row>
    <row r="10" spans="1:3" x14ac:dyDescent="0.3">
      <c r="A10" s="11">
        <v>8</v>
      </c>
      <c r="B10" s="11">
        <v>0.9</v>
      </c>
      <c r="C10" s="12">
        <f t="shared" si="0"/>
        <v>0.78300000000000003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8D90-A81C-4AA2-8B37-C301DCB82A4D}">
  <dimension ref="A1:G23"/>
  <sheetViews>
    <sheetView workbookViewId="0">
      <selection activeCell="H10" sqref="H10"/>
    </sheetView>
  </sheetViews>
  <sheetFormatPr defaultRowHeight="14.4" x14ac:dyDescent="0.3"/>
  <cols>
    <col min="1" max="1" width="2.6640625" bestFit="1" customWidth="1"/>
    <col min="2" max="2" width="13.5546875" customWidth="1"/>
    <col min="3" max="3" width="12.33203125" customWidth="1"/>
  </cols>
  <sheetData>
    <row r="1" spans="1:7" x14ac:dyDescent="0.3">
      <c r="A1" t="s">
        <v>4</v>
      </c>
      <c r="B1" t="s">
        <v>0</v>
      </c>
      <c r="C1" t="s">
        <v>1</v>
      </c>
    </row>
    <row r="2" spans="1:7" x14ac:dyDescent="0.3">
      <c r="A2">
        <v>0</v>
      </c>
      <c r="B2" t="s">
        <v>92</v>
      </c>
      <c r="C2" t="s">
        <v>92</v>
      </c>
    </row>
    <row r="3" spans="1:7" x14ac:dyDescent="0.3">
      <c r="A3">
        <v>1</v>
      </c>
      <c r="B3">
        <v>1</v>
      </c>
      <c r="C3" s="2">
        <f>1/B3</f>
        <v>1</v>
      </c>
      <c r="G3" s="1"/>
    </row>
    <row r="4" spans="1:7" x14ac:dyDescent="0.3">
      <c r="A4">
        <v>2</v>
      </c>
      <c r="B4">
        <v>0.66666999999999998</v>
      </c>
      <c r="C4" s="2">
        <f t="shared" ref="C4:C11" si="0">1/B4</f>
        <v>1.4999925000374998</v>
      </c>
      <c r="G4" s="1"/>
    </row>
    <row r="5" spans="1:7" x14ac:dyDescent="0.3">
      <c r="A5">
        <v>3</v>
      </c>
      <c r="B5">
        <v>0.5</v>
      </c>
      <c r="C5" s="2">
        <f t="shared" si="0"/>
        <v>2</v>
      </c>
      <c r="G5" s="1"/>
    </row>
    <row r="6" spans="1:7" x14ac:dyDescent="0.3">
      <c r="A6">
        <v>4</v>
      </c>
      <c r="B6">
        <v>0.4</v>
      </c>
      <c r="C6" s="2">
        <f t="shared" si="0"/>
        <v>2.5</v>
      </c>
      <c r="G6" s="1"/>
    </row>
    <row r="7" spans="1:7" x14ac:dyDescent="0.3">
      <c r="A7">
        <v>5</v>
      </c>
      <c r="B7">
        <v>0.33333000000000002</v>
      </c>
      <c r="C7" s="2">
        <f t="shared" si="0"/>
        <v>3.0000300003000029</v>
      </c>
      <c r="G7" s="1"/>
    </row>
    <row r="8" spans="1:7" x14ac:dyDescent="0.3">
      <c r="A8">
        <v>6</v>
      </c>
      <c r="B8">
        <v>0.28571000000000002</v>
      </c>
      <c r="C8" s="2">
        <f t="shared" si="0"/>
        <v>3.5000525007875116</v>
      </c>
      <c r="G8" s="1"/>
    </row>
    <row r="9" spans="1:7" x14ac:dyDescent="0.3">
      <c r="A9">
        <v>7</v>
      </c>
      <c r="B9">
        <v>0.25</v>
      </c>
      <c r="C9" s="2">
        <f t="shared" si="0"/>
        <v>4</v>
      </c>
      <c r="G9" s="1"/>
    </row>
    <row r="10" spans="1:7" x14ac:dyDescent="0.3">
      <c r="A10">
        <v>8</v>
      </c>
      <c r="B10">
        <v>0.22222</v>
      </c>
      <c r="C10" s="2">
        <f t="shared" si="0"/>
        <v>4.5000450004500046</v>
      </c>
      <c r="G10" s="1"/>
    </row>
    <row r="11" spans="1:7" x14ac:dyDescent="0.3">
      <c r="A11">
        <v>9</v>
      </c>
      <c r="B11">
        <v>0.21134</v>
      </c>
      <c r="C11" s="2">
        <f t="shared" si="0"/>
        <v>4.731711933377496</v>
      </c>
      <c r="G11" s="1"/>
    </row>
    <row r="12" spans="1:7" x14ac:dyDescent="0.3">
      <c r="C12" s="2"/>
      <c r="G12" s="1"/>
    </row>
    <row r="13" spans="1:7" x14ac:dyDescent="0.3">
      <c r="C13" s="2"/>
      <c r="G13" s="1"/>
    </row>
    <row r="14" spans="1:7" x14ac:dyDescent="0.3">
      <c r="C14" s="2"/>
      <c r="G14" s="1"/>
    </row>
    <row r="15" spans="1:7" x14ac:dyDescent="0.3">
      <c r="C15" s="2"/>
      <c r="G15" s="1"/>
    </row>
    <row r="16" spans="1:7" x14ac:dyDescent="0.3">
      <c r="C16" s="2"/>
      <c r="G16" s="1"/>
    </row>
    <row r="17" spans="3:7" x14ac:dyDescent="0.3">
      <c r="C17" s="2"/>
      <c r="G17" s="1"/>
    </row>
    <row r="18" spans="3:7" x14ac:dyDescent="0.3">
      <c r="C18" s="2"/>
      <c r="G18" s="1"/>
    </row>
    <row r="19" spans="3:7" x14ac:dyDescent="0.3">
      <c r="C19" s="2"/>
      <c r="G19" s="1"/>
    </row>
    <row r="20" spans="3:7" x14ac:dyDescent="0.3">
      <c r="C20" s="2"/>
    </row>
    <row r="21" spans="3:7" x14ac:dyDescent="0.3">
      <c r="C21" s="2"/>
    </row>
    <row r="22" spans="3:7" x14ac:dyDescent="0.3">
      <c r="C22" s="2"/>
    </row>
    <row r="23" spans="3:7" x14ac:dyDescent="0.3">
      <c r="C2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A5D0-A5B7-4CB6-ADE5-7D5D1000F777}">
  <dimension ref="A1:B10"/>
  <sheetViews>
    <sheetView workbookViewId="0">
      <selection activeCell="I6" sqref="I6"/>
    </sheetView>
  </sheetViews>
  <sheetFormatPr defaultRowHeight="14.4" x14ac:dyDescent="0.3"/>
  <cols>
    <col min="1" max="1" width="2.6640625" bestFit="1" customWidth="1"/>
    <col min="2" max="2" width="15.5546875" bestFit="1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 s="3">
        <v>0.1</v>
      </c>
    </row>
    <row r="3" spans="1:2" x14ac:dyDescent="0.3">
      <c r="A3">
        <f>A2+1</f>
        <v>2</v>
      </c>
      <c r="B3" s="3">
        <v>0.2</v>
      </c>
    </row>
    <row r="4" spans="1:2" x14ac:dyDescent="0.3">
      <c r="A4">
        <f t="shared" ref="A4:A9" si="0">A3+1</f>
        <v>3</v>
      </c>
      <c r="B4" s="3">
        <v>0.3</v>
      </c>
    </row>
    <row r="5" spans="1:2" x14ac:dyDescent="0.3">
      <c r="A5">
        <f t="shared" si="0"/>
        <v>4</v>
      </c>
      <c r="B5" s="3">
        <v>0.4</v>
      </c>
    </row>
    <row r="6" spans="1:2" x14ac:dyDescent="0.3">
      <c r="A6">
        <f t="shared" si="0"/>
        <v>5</v>
      </c>
      <c r="B6" s="3">
        <v>0.5</v>
      </c>
    </row>
    <row r="7" spans="1:2" x14ac:dyDescent="0.3">
      <c r="A7">
        <f t="shared" si="0"/>
        <v>6</v>
      </c>
      <c r="B7" s="3">
        <v>0.6</v>
      </c>
    </row>
    <row r="8" spans="1:2" x14ac:dyDescent="0.3">
      <c r="A8">
        <f t="shared" si="0"/>
        <v>7</v>
      </c>
      <c r="B8" s="3">
        <v>0.7</v>
      </c>
    </row>
    <row r="9" spans="1:2" x14ac:dyDescent="0.3">
      <c r="A9">
        <f t="shared" si="0"/>
        <v>8</v>
      </c>
      <c r="B9" s="3">
        <v>0.8</v>
      </c>
    </row>
    <row r="10" spans="1:2" x14ac:dyDescent="0.3">
      <c r="B1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CFF8-3D1C-4009-9B65-37E828C0E07E}">
  <dimension ref="A1:B9"/>
  <sheetViews>
    <sheetView workbookViewId="0">
      <selection activeCell="D15" sqref="D15"/>
    </sheetView>
  </sheetViews>
  <sheetFormatPr defaultRowHeight="14.4" x14ac:dyDescent="0.3"/>
  <cols>
    <col min="1" max="1" width="2.6640625" bestFit="1" customWidth="1"/>
  </cols>
  <sheetData>
    <row r="1" spans="1:2" x14ac:dyDescent="0.3">
      <c r="A1" t="s">
        <v>4</v>
      </c>
      <c r="B1" t="s">
        <v>6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45</v>
      </c>
    </row>
    <row r="4" spans="1:2" x14ac:dyDescent="0.3">
      <c r="A4">
        <v>3</v>
      </c>
      <c r="B4">
        <f>B3+45</f>
        <v>90</v>
      </c>
    </row>
    <row r="5" spans="1:2" x14ac:dyDescent="0.3">
      <c r="A5">
        <v>4</v>
      </c>
      <c r="B5">
        <f t="shared" ref="B5:B9" si="0">B4+45</f>
        <v>135</v>
      </c>
    </row>
    <row r="6" spans="1:2" x14ac:dyDescent="0.3">
      <c r="A6">
        <v>5</v>
      </c>
      <c r="B6">
        <f t="shared" si="0"/>
        <v>180</v>
      </c>
    </row>
    <row r="7" spans="1:2" x14ac:dyDescent="0.3">
      <c r="A7">
        <v>6</v>
      </c>
      <c r="B7">
        <f t="shared" si="0"/>
        <v>225</v>
      </c>
    </row>
    <row r="8" spans="1:2" x14ac:dyDescent="0.3">
      <c r="A8">
        <v>7</v>
      </c>
      <c r="B8">
        <f>B7+45</f>
        <v>270</v>
      </c>
    </row>
    <row r="9" spans="1:2" x14ac:dyDescent="0.3">
      <c r="A9">
        <v>8</v>
      </c>
      <c r="B9">
        <f t="shared" si="0"/>
        <v>315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5E4-92AD-42B5-8A7C-75358924326D}">
  <dimension ref="A1:B10"/>
  <sheetViews>
    <sheetView workbookViewId="0">
      <selection activeCell="I13" sqref="I13"/>
    </sheetView>
  </sheetViews>
  <sheetFormatPr defaultRowHeight="14.4" x14ac:dyDescent="0.3"/>
  <cols>
    <col min="1" max="1" width="2.6640625" bestFit="1" customWidth="1"/>
    <col min="2" max="2" width="10.7773437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>
        <v>0</v>
      </c>
      <c r="B2" t="s">
        <v>92</v>
      </c>
    </row>
    <row r="3" spans="1:2" x14ac:dyDescent="0.3">
      <c r="A3">
        <v>1</v>
      </c>
      <c r="B3">
        <v>0.3</v>
      </c>
    </row>
    <row r="4" spans="1:2" x14ac:dyDescent="0.3">
      <c r="A4">
        <v>2</v>
      </c>
      <c r="B4">
        <v>0.4</v>
      </c>
    </row>
    <row r="5" spans="1:2" x14ac:dyDescent="0.3">
      <c r="A5">
        <v>3</v>
      </c>
      <c r="B5">
        <v>0.5</v>
      </c>
    </row>
    <row r="6" spans="1:2" x14ac:dyDescent="0.3">
      <c r="A6">
        <v>4</v>
      </c>
      <c r="B6">
        <v>0.6</v>
      </c>
    </row>
    <row r="7" spans="1:2" x14ac:dyDescent="0.3">
      <c r="A7">
        <v>5</v>
      </c>
      <c r="B7">
        <v>0.7</v>
      </c>
    </row>
    <row r="8" spans="1:2" x14ac:dyDescent="0.3">
      <c r="A8">
        <v>6</v>
      </c>
      <c r="B8">
        <v>0.8</v>
      </c>
    </row>
    <row r="9" spans="1:2" x14ac:dyDescent="0.3">
      <c r="A9">
        <v>7</v>
      </c>
      <c r="B9">
        <v>0.9</v>
      </c>
    </row>
    <row r="10" spans="1:2" x14ac:dyDescent="0.3">
      <c r="A10">
        <v>8</v>
      </c>
      <c r="B10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C6D8-7F46-4CE7-BB57-B5E24F170519}">
  <dimension ref="A1:B13"/>
  <sheetViews>
    <sheetView workbookViewId="0">
      <selection activeCell="K14" sqref="K14"/>
    </sheetView>
  </sheetViews>
  <sheetFormatPr defaultRowHeight="14.4" x14ac:dyDescent="0.3"/>
  <cols>
    <col min="1" max="1" width="3" bestFit="1" customWidth="1"/>
    <col min="2" max="2" width="10.77734375" bestFit="1" customWidth="1"/>
  </cols>
  <sheetData>
    <row r="1" spans="1:2" x14ac:dyDescent="0.3">
      <c r="A1" t="s">
        <v>4</v>
      </c>
      <c r="B1" t="s">
        <v>8</v>
      </c>
    </row>
    <row r="2" spans="1:2" x14ac:dyDescent="0.3">
      <c r="A2">
        <v>0</v>
      </c>
      <c r="B2" t="s">
        <v>92</v>
      </c>
    </row>
    <row r="3" spans="1:2" x14ac:dyDescent="0.3">
      <c r="A3">
        <v>1</v>
      </c>
      <c r="B3">
        <v>1</v>
      </c>
    </row>
    <row r="4" spans="1:2" x14ac:dyDescent="0.3">
      <c r="A4">
        <v>2</v>
      </c>
      <c r="B4">
        <v>1.1000000000000001</v>
      </c>
    </row>
    <row r="5" spans="1:2" x14ac:dyDescent="0.3">
      <c r="A5">
        <v>3</v>
      </c>
      <c r="B5">
        <v>1.2</v>
      </c>
    </row>
    <row r="6" spans="1:2" x14ac:dyDescent="0.3">
      <c r="A6">
        <v>4</v>
      </c>
      <c r="B6">
        <v>1.3</v>
      </c>
    </row>
    <row r="7" spans="1:2" x14ac:dyDescent="0.3">
      <c r="A7">
        <v>5</v>
      </c>
      <c r="B7">
        <v>1.4</v>
      </c>
    </row>
    <row r="8" spans="1:2" x14ac:dyDescent="0.3">
      <c r="A8">
        <v>6</v>
      </c>
      <c r="B8">
        <v>1.5</v>
      </c>
    </row>
    <row r="9" spans="1:2" x14ac:dyDescent="0.3">
      <c r="A9">
        <v>7</v>
      </c>
      <c r="B9">
        <v>1.6</v>
      </c>
    </row>
    <row r="10" spans="1:2" x14ac:dyDescent="0.3">
      <c r="A10">
        <v>8</v>
      </c>
      <c r="B10">
        <v>1.7</v>
      </c>
    </row>
    <row r="11" spans="1:2" x14ac:dyDescent="0.3">
      <c r="A11">
        <v>9</v>
      </c>
      <c r="B11">
        <v>1.8</v>
      </c>
    </row>
    <row r="12" spans="1:2" x14ac:dyDescent="0.3">
      <c r="A12">
        <v>10</v>
      </c>
      <c r="B12">
        <v>1.9</v>
      </c>
    </row>
    <row r="13" spans="1:2" x14ac:dyDescent="0.3">
      <c r="A13">
        <v>11</v>
      </c>
      <c r="B13">
        <v>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C1F2-F197-4467-9FD8-7D61ADE7E77F}">
  <dimension ref="A1:F8"/>
  <sheetViews>
    <sheetView workbookViewId="0">
      <selection activeCell="M17" sqref="M17"/>
    </sheetView>
  </sheetViews>
  <sheetFormatPr defaultRowHeight="14.4" x14ac:dyDescent="0.3"/>
  <cols>
    <col min="1" max="1" width="2.6640625" bestFit="1" customWidth="1"/>
  </cols>
  <sheetData>
    <row r="1" spans="1:6" x14ac:dyDescent="0.3">
      <c r="A1" t="s">
        <v>4</v>
      </c>
      <c r="B1" t="s">
        <v>84</v>
      </c>
    </row>
    <row r="2" spans="1:6" x14ac:dyDescent="0.3">
      <c r="A2">
        <v>1</v>
      </c>
      <c r="B2" t="s">
        <v>85</v>
      </c>
    </row>
    <row r="3" spans="1:6" x14ac:dyDescent="0.3">
      <c r="A3">
        <f>A2+1</f>
        <v>2</v>
      </c>
      <c r="B3" t="s">
        <v>86</v>
      </c>
    </row>
    <row r="4" spans="1:6" x14ac:dyDescent="0.3">
      <c r="A4">
        <f t="shared" ref="A4:A8" si="0">A3+1</f>
        <v>3</v>
      </c>
      <c r="B4" t="s">
        <v>87</v>
      </c>
    </row>
    <row r="5" spans="1:6" x14ac:dyDescent="0.3">
      <c r="A5">
        <f t="shared" si="0"/>
        <v>4</v>
      </c>
      <c r="B5" t="s">
        <v>88</v>
      </c>
    </row>
    <row r="6" spans="1:6" x14ac:dyDescent="0.3">
      <c r="A6">
        <f t="shared" si="0"/>
        <v>5</v>
      </c>
      <c r="B6" t="s">
        <v>89</v>
      </c>
    </row>
    <row r="7" spans="1:6" x14ac:dyDescent="0.3">
      <c r="A7">
        <f t="shared" si="0"/>
        <v>6</v>
      </c>
      <c r="B7" t="s">
        <v>90</v>
      </c>
      <c r="F7" s="10"/>
    </row>
    <row r="8" spans="1:6" x14ac:dyDescent="0.3">
      <c r="A8">
        <f t="shared" si="0"/>
        <v>7</v>
      </c>
      <c r="B8" t="s">
        <v>91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5A4C1-91EF-4968-98F5-9B39FE9DD3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Wall_Assembly</vt:lpstr>
      <vt:lpstr>Wall_Layers_Thickness</vt:lpstr>
      <vt:lpstr>WallR</vt:lpstr>
      <vt:lpstr>Roof_Assembly</vt:lpstr>
      <vt:lpstr>Roof_Layers_Thickness</vt:lpstr>
      <vt:lpstr>RoofR</vt:lpstr>
      <vt:lpstr>GlazingSC</vt:lpstr>
      <vt:lpstr>GlazingR</vt:lpstr>
      <vt:lpstr>WWR</vt:lpstr>
      <vt:lpstr>Orientation</vt:lpstr>
      <vt:lpstr>Lighting</vt:lpstr>
      <vt:lpstr>Equipment</vt:lpstr>
      <vt:lpstr>Typology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 Global</dc:creator>
  <cp:lastModifiedBy>Rajeev Kumar</cp:lastModifiedBy>
  <dcterms:created xsi:type="dcterms:W3CDTF">2026-02-13T05:10:50Z</dcterms:created>
  <dcterms:modified xsi:type="dcterms:W3CDTF">2026-03-17T11:08:51Z</dcterms:modified>
</cp:coreProperties>
</file>