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DS\260108AWESIM\database\"/>
    </mc:Choice>
  </mc:AlternateContent>
  <xr:revisionPtr revIDLastSave="0" documentId="13_ncr:1_{692F0F95-F172-4591-B9B2-C553E02F2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l_New" sheetId="12" r:id="rId1"/>
    <sheet name="Roof_New" sheetId="13" r:id="rId2"/>
    <sheet name="Wall" sheetId="15" r:id="rId3"/>
    <sheet name="wallNew" sheetId="18" r:id="rId4"/>
    <sheet name="RoofNew" sheetId="19" r:id="rId5"/>
    <sheet name="Roof" sheetId="2" r:id="rId6"/>
    <sheet name="Glazing" sheetId="3" r:id="rId7"/>
    <sheet name="WWR" sheetId="8" r:id="rId8"/>
    <sheet name="Orient" sheetId="4" r:id="rId9"/>
    <sheet name="Light" sheetId="5" r:id="rId10"/>
    <sheet name="Equip" sheetId="6" r:id="rId11"/>
    <sheet name="Material_DB" sheetId="9" r:id="rId12"/>
    <sheet name="Material_DB_IP" sheetId="11" r:id="rId13"/>
    <sheet name="WallR" sheetId="16" r:id="rId14"/>
    <sheet name="RoofR" sheetId="17" r:id="rId15"/>
    <sheet name="GlazedR" sheetId="20" r:id="rId16"/>
    <sheet name="RoofMid" sheetId="21" r:id="rId17"/>
  </sheets>
  <definedNames>
    <definedName name="_xlnm._FilterDatabase" localSheetId="1" hidden="1">Roof_New!$A$1:$E$66</definedName>
    <definedName name="_xlnm._FilterDatabase" localSheetId="0" hidden="1">Wall_New!$A$1:$E$97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2" l="1"/>
  <c r="O20" i="12"/>
  <c r="O21" i="12"/>
  <c r="O23" i="12"/>
  <c r="O24" i="12"/>
  <c r="O25" i="12"/>
  <c r="O26" i="12"/>
  <c r="O27" i="12"/>
  <c r="O28" i="12"/>
  <c r="O29" i="12"/>
  <c r="O30" i="12"/>
  <c r="O19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Q18" i="12"/>
  <c r="R18" i="12"/>
  <c r="R17" i="12"/>
  <c r="O18" i="12"/>
  <c r="O17" i="12"/>
  <c r="N18" i="12"/>
  <c r="N17" i="12"/>
  <c r="P17" i="12"/>
  <c r="P18" i="12"/>
  <c r="O25" i="13"/>
  <c r="O22" i="13"/>
  <c r="O19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O21" i="13"/>
  <c r="R18" i="13"/>
  <c r="O20" i="13"/>
  <c r="R17" i="13"/>
  <c r="R10" i="13"/>
  <c r="O23" i="13" l="1"/>
  <c r="O24" i="13" l="1"/>
  <c r="O26" i="13" l="1"/>
  <c r="O27" i="13" l="1"/>
  <c r="O28" i="13" l="1"/>
  <c r="O30" i="13" l="1"/>
  <c r="O29" i="13"/>
  <c r="G10" i="21" l="1"/>
  <c r="D10" i="21" s="1"/>
  <c r="G9" i="21"/>
  <c r="D9" i="21"/>
  <c r="G8" i="21"/>
  <c r="D8" i="21"/>
  <c r="G7" i="21"/>
  <c r="D7" i="21"/>
  <c r="G6" i="21"/>
  <c r="D6" i="21"/>
  <c r="G5" i="21"/>
  <c r="D5" i="21"/>
  <c r="M11" i="20"/>
  <c r="M10" i="20"/>
  <c r="M9" i="20"/>
  <c r="M8" i="20"/>
  <c r="M7" i="20"/>
  <c r="M6" i="20"/>
  <c r="M5" i="20"/>
  <c r="M4" i="20"/>
  <c r="M3" i="20"/>
  <c r="F18" i="20"/>
  <c r="E18" i="20"/>
  <c r="D18" i="20"/>
  <c r="C18" i="20"/>
  <c r="F17" i="20"/>
  <c r="E17" i="20"/>
  <c r="D17" i="20"/>
  <c r="C17" i="20"/>
  <c r="F16" i="20"/>
  <c r="E16" i="20"/>
  <c r="D16" i="20"/>
  <c r="C16" i="20"/>
  <c r="F15" i="20"/>
  <c r="E15" i="20"/>
  <c r="D15" i="20"/>
  <c r="C15" i="20"/>
  <c r="F14" i="20"/>
  <c r="E14" i="20"/>
  <c r="D14" i="20"/>
  <c r="C14" i="20"/>
  <c r="F13" i="20"/>
  <c r="E13" i="20"/>
  <c r="D13" i="20"/>
  <c r="C13" i="20"/>
  <c r="F12" i="20"/>
  <c r="E12" i="20"/>
  <c r="D12" i="20"/>
  <c r="C12" i="20"/>
  <c r="F11" i="20"/>
  <c r="E11" i="20"/>
  <c r="D11" i="20"/>
  <c r="C11" i="20"/>
  <c r="F10" i="20"/>
  <c r="E10" i="20"/>
  <c r="D10" i="20"/>
  <c r="C10" i="20"/>
  <c r="F9" i="20"/>
  <c r="E9" i="20"/>
  <c r="D9" i="20"/>
  <c r="C9" i="20"/>
  <c r="F8" i="20"/>
  <c r="E8" i="20"/>
  <c r="D8" i="20"/>
  <c r="C8" i="20"/>
  <c r="F7" i="20"/>
  <c r="E7" i="20"/>
  <c r="D7" i="20"/>
  <c r="C7" i="20"/>
  <c r="F6" i="20"/>
  <c r="E6" i="20"/>
  <c r="D6" i="20"/>
  <c r="C6" i="20"/>
  <c r="F5" i="20"/>
  <c r="E5" i="20"/>
  <c r="D5" i="20"/>
  <c r="C5" i="20"/>
  <c r="F4" i="20"/>
  <c r="E4" i="20"/>
  <c r="D4" i="20"/>
  <c r="C4" i="20"/>
  <c r="F3" i="20"/>
  <c r="E3" i="20"/>
  <c r="D3" i="20"/>
  <c r="C3" i="20"/>
  <c r="F2" i="20"/>
  <c r="E2" i="20"/>
  <c r="D2" i="20"/>
  <c r="C2" i="20"/>
  <c r="S3" i="3"/>
  <c r="S4" i="3"/>
  <c r="S5" i="3"/>
  <c r="S6" i="3"/>
  <c r="S7" i="3"/>
  <c r="S8" i="3"/>
  <c r="S9" i="3"/>
  <c r="S10" i="3"/>
  <c r="B3" i="19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3" i="18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O16" i="13"/>
  <c r="O12" i="13"/>
  <c r="O10" i="13"/>
  <c r="O7" i="13"/>
  <c r="O6" i="13"/>
  <c r="O17" i="13"/>
  <c r="R16" i="13"/>
  <c r="R15" i="13"/>
  <c r="R14" i="13"/>
  <c r="O14" i="13" s="1"/>
  <c r="R13" i="13"/>
  <c r="O13" i="13" s="1"/>
  <c r="R12" i="13"/>
  <c r="R11" i="13"/>
  <c r="O11" i="13" s="1"/>
  <c r="R9" i="13"/>
  <c r="R8" i="13"/>
  <c r="O8" i="13" s="1"/>
  <c r="R7" i="13"/>
  <c r="R6" i="13"/>
  <c r="R5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O15" i="13"/>
  <c r="O9" i="13"/>
  <c r="O5" i="13"/>
  <c r="R5" i="12"/>
  <c r="O5" i="12" s="1"/>
  <c r="R6" i="12"/>
  <c r="O6" i="12" s="1"/>
  <c r="R4" i="12"/>
  <c r="O4" i="12" s="1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R16" i="12"/>
  <c r="R15" i="12"/>
  <c r="R14" i="12"/>
  <c r="R13" i="12"/>
  <c r="R12" i="12"/>
  <c r="R11" i="12"/>
  <c r="R10" i="12"/>
  <c r="R9" i="12"/>
  <c r="O9" i="12" s="1"/>
  <c r="R8" i="12"/>
  <c r="R7" i="12"/>
  <c r="O7" i="12"/>
  <c r="F2" i="3"/>
  <c r="G2" i="3"/>
  <c r="H2" i="3"/>
  <c r="I2" i="3"/>
  <c r="C46" i="11"/>
  <c r="E46" i="11"/>
  <c r="D46" i="11"/>
  <c r="C2" i="6"/>
  <c r="E3" i="13"/>
  <c r="E2" i="13"/>
  <c r="E3" i="12"/>
  <c r="E2" i="12"/>
  <c r="O11" i="12" l="1"/>
  <c r="O8" i="12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F10" i="9"/>
  <c r="A4" i="4"/>
  <c r="A5" i="4" s="1"/>
  <c r="A6" i="4" s="1"/>
  <c r="A7" i="4" s="1"/>
  <c r="A8" i="4" s="1"/>
  <c r="A9" i="4" s="1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O10" i="12" l="1"/>
  <c r="I13" i="3"/>
  <c r="I14" i="3"/>
  <c r="I15" i="3"/>
  <c r="I11" i="3"/>
  <c r="I6" i="3"/>
  <c r="I12" i="3"/>
  <c r="I7" i="3"/>
  <c r="I8" i="3"/>
  <c r="I3" i="3"/>
  <c r="I9" i="3"/>
  <c r="I4" i="3"/>
  <c r="I10" i="3"/>
  <c r="I5" i="3"/>
  <c r="I16" i="3"/>
  <c r="I17" i="3"/>
  <c r="I18" i="3"/>
  <c r="O13" i="12" l="1"/>
  <c r="O12" i="12"/>
  <c r="O15" i="12"/>
  <c r="O14" i="12"/>
  <c r="O16" i="12" l="1"/>
</calcChain>
</file>

<file path=xl/sharedStrings.xml><?xml version="1.0" encoding="utf-8"?>
<sst xmlns="http://schemas.openxmlformats.org/spreadsheetml/2006/main" count="1266" uniqueCount="254">
  <si>
    <t>LAYERS</t>
  </si>
  <si>
    <t>Name</t>
  </si>
  <si>
    <t>Code</t>
  </si>
  <si>
    <t>Mat_1</t>
  </si>
  <si>
    <t>Mat_3</t>
  </si>
  <si>
    <t>Mat_4</t>
  </si>
  <si>
    <t>Mat_5</t>
  </si>
  <si>
    <t>w1</t>
  </si>
  <si>
    <t>Solid_Burnt_Brick-230[ENS]</t>
  </si>
  <si>
    <t>ML_SBB230</t>
  </si>
  <si>
    <t>w2</t>
  </si>
  <si>
    <t>Solid_Burnt_Brick-230_XPS-5[ENS]</t>
  </si>
  <si>
    <t>ML_SBB230_XPS_5</t>
  </si>
  <si>
    <t>w3</t>
  </si>
  <si>
    <t>Solid_Burnt_Brick-230_XPS-10[ENS]</t>
  </si>
  <si>
    <t>ML_SBB230_XPS_10</t>
  </si>
  <si>
    <t>w8</t>
  </si>
  <si>
    <t>Solid_Burnt_Brick-230_EPS-25[ENS]</t>
  </si>
  <si>
    <t>ML_SBB230_XPS_25</t>
  </si>
  <si>
    <t>w9</t>
  </si>
  <si>
    <t>Solid_Burnt_Brick-230_EPS-50[ENS]</t>
  </si>
  <si>
    <t>ML_SBB230_XPS_50</t>
  </si>
  <si>
    <t>w13</t>
  </si>
  <si>
    <t>AAC_Block_Wall-200[ENS]</t>
  </si>
  <si>
    <t>ML_ACC200</t>
  </si>
  <si>
    <t>w16</t>
  </si>
  <si>
    <t>AAC_Block_Wall-200_EPS-25[ENS]</t>
  </si>
  <si>
    <t>ML_ACC200_EPS_25</t>
  </si>
  <si>
    <t>w17</t>
  </si>
  <si>
    <t>AAC_Block_Wall-200_EPS-50[ENS]</t>
  </si>
  <si>
    <t>ML_ACC200_EPS_50</t>
  </si>
  <si>
    <t>w19</t>
  </si>
  <si>
    <t>AAC_Block_Wall-200_PUF-50[ENS]</t>
  </si>
  <si>
    <t>ML_ACC200_PUF_50</t>
  </si>
  <si>
    <t>w25</t>
  </si>
  <si>
    <t>Fly_Ash_Brick-230_PUF-25[ENS]</t>
  </si>
  <si>
    <t>ML_FAB230_PUF_25</t>
  </si>
  <si>
    <t>w26</t>
  </si>
  <si>
    <t>Fly_Ash_Brick-230_PUF-50[ENS]</t>
  </si>
  <si>
    <t>ML_FAB230_PUF_50</t>
  </si>
  <si>
    <t>w27</t>
  </si>
  <si>
    <t>Solid_Concrete_Block-200[ENS]</t>
  </si>
  <si>
    <t>ML_SCB200</t>
  </si>
  <si>
    <t>w28</t>
  </si>
  <si>
    <t>Solid_Concrete_Block-200_XPS-5[ENS]</t>
  </si>
  <si>
    <t>ML_SCB200_XPS_5</t>
  </si>
  <si>
    <t>w32</t>
  </si>
  <si>
    <t>Solid_Concrete_Block-200_EPS-15[ENS]</t>
  </si>
  <si>
    <t>ML_SCB200_EPS_15</t>
  </si>
  <si>
    <t>w33</t>
  </si>
  <si>
    <t>Solid_Concrete_Block-200_EPS-20[ENS]</t>
  </si>
  <si>
    <t>ML_SCB200_EPS_20</t>
  </si>
  <si>
    <t>w34</t>
  </si>
  <si>
    <t>Solid_Concrete_Block-200_XPS-25[ENS]</t>
  </si>
  <si>
    <t>ML_SCB200_XPS_25</t>
  </si>
  <si>
    <t>w35</t>
  </si>
  <si>
    <t>Solid_Concrete_Block-200_XPS-50[ENS]</t>
  </si>
  <si>
    <t>ML_SCB200_XPS_50</t>
  </si>
  <si>
    <t>w36</t>
  </si>
  <si>
    <t>Solid_Concrete_Block-200_EPS-25[ENS]</t>
  </si>
  <si>
    <t>ML_SCB200_EPS_25</t>
  </si>
  <si>
    <t>w37</t>
  </si>
  <si>
    <t>Solid_Concrete_Block-200_EPS-50[ENS]</t>
  </si>
  <si>
    <t>ML_SCB200_EPS_50</t>
  </si>
  <si>
    <t>w40</t>
  </si>
  <si>
    <t>Reinforce_Concrete_200[ENS]</t>
  </si>
  <si>
    <t>ML_RC200</t>
  </si>
  <si>
    <t>R1</t>
  </si>
  <si>
    <t>R6</t>
  </si>
  <si>
    <t>Reinforce_Concrete_200_PUF25[ENS]</t>
  </si>
  <si>
    <t>ML_RC200_PUF25</t>
  </si>
  <si>
    <t>R8</t>
  </si>
  <si>
    <t>Reinforce_Concrete_200_PUF75[ENS]</t>
  </si>
  <si>
    <t>ML_RC200_PUF75</t>
  </si>
  <si>
    <t>R9</t>
  </si>
  <si>
    <t>Reinforce_Concrete_200_PUF100[ENS]</t>
  </si>
  <si>
    <t>ML_RC200_PUF100</t>
  </si>
  <si>
    <t>R11</t>
  </si>
  <si>
    <t>Reinforce_Concrete_200_EPS5[ENS]</t>
  </si>
  <si>
    <t>ML_RC200_EPS5</t>
  </si>
  <si>
    <t>R13</t>
  </si>
  <si>
    <t>Reinforce_Concrete_200_EPS10[ENS]</t>
  </si>
  <si>
    <t>ML_RC200_EPS10</t>
  </si>
  <si>
    <t>R15</t>
  </si>
  <si>
    <t>Reinforce_Concrete_200_EPS15[ENS]</t>
  </si>
  <si>
    <t>ML_RC200_EPS15</t>
  </si>
  <si>
    <t>R17</t>
  </si>
  <si>
    <t>Reinforce_Concrete_200_EPS20[ENS]</t>
  </si>
  <si>
    <t>ML_RC200_EPS20</t>
  </si>
  <si>
    <t>R18</t>
  </si>
  <si>
    <t>Reinforce_Concrete_200_EPS25[ENS]</t>
  </si>
  <si>
    <t>ML_RC200_EPS25</t>
  </si>
  <si>
    <t>R19</t>
  </si>
  <si>
    <t>Reinforce_Concrete_200_EPS50[ENS]</t>
  </si>
  <si>
    <t>ML_RC200_EPS50</t>
  </si>
  <si>
    <t>R20</t>
  </si>
  <si>
    <t>Reinforce_Concrete_200_EPS75[ENS]</t>
  </si>
  <si>
    <t>ML_RC200_EPS75</t>
  </si>
  <si>
    <t>Glass Type</t>
  </si>
  <si>
    <t>U-value (COG)</t>
  </si>
  <si>
    <t>GLASS-CONDUCT</t>
  </si>
  <si>
    <t>VIS-TRANS</t>
  </si>
  <si>
    <t>Climate</t>
  </si>
  <si>
    <t>U-Value(IP)</t>
  </si>
  <si>
    <t>SHADING-COEF</t>
  </si>
  <si>
    <t>Glass</t>
  </si>
  <si>
    <t>GLASS-TYPE</t>
  </si>
  <si>
    <t>Double Glazed</t>
  </si>
  <si>
    <t>Single Glazed</t>
  </si>
  <si>
    <t>Others</t>
  </si>
  <si>
    <t>Rotate</t>
  </si>
  <si>
    <t>Improvement</t>
  </si>
  <si>
    <t>Orient_Id</t>
  </si>
  <si>
    <t>ID</t>
  </si>
  <si>
    <t>WWR</t>
  </si>
  <si>
    <t>WWR_Percentage</t>
  </si>
  <si>
    <t>Material</t>
  </si>
  <si>
    <t>Solid burnt clay brick</t>
  </si>
  <si>
    <t>AC sheet</t>
  </si>
  <si>
    <t>Aerated autoclaved concrete (AAC) block</t>
  </si>
  <si>
    <t>Brick tile</t>
  </si>
  <si>
    <t>Cellular concrete</t>
  </si>
  <si>
    <t>Cement fibreboard</t>
  </si>
  <si>
    <t>Cement mortar</t>
  </si>
  <si>
    <t>Cement mortar, dry</t>
  </si>
  <si>
    <t>Cement plaster</t>
  </si>
  <si>
    <t>Cement stabilized soil block (CSEB) - High density</t>
  </si>
  <si>
    <t>Cement stabilized soil block (CSEB) - Low density</t>
  </si>
  <si>
    <t>Cement stabilized soil block (CSEB) - Med density</t>
  </si>
  <si>
    <t>Common earth</t>
  </si>
  <si>
    <t>Dense Concrete</t>
  </si>
  <si>
    <t>Dry ceramic tiles</t>
  </si>
  <si>
    <t>Fired Clay Brick (Hi Den)</t>
  </si>
  <si>
    <t>Fired Clay Brick (Low Den)</t>
  </si>
  <si>
    <t>Fly ash brick</t>
  </si>
  <si>
    <t>Gl sheet</t>
  </si>
  <si>
    <t>Gypsum plaster</t>
  </si>
  <si>
    <t>Heavyweight concrete block</t>
  </si>
  <si>
    <t>Heavyweight masonry</t>
  </si>
  <si>
    <t>Lightweight concrete block</t>
  </si>
  <si>
    <t>Lightweight masonry</t>
  </si>
  <si>
    <t>Lime concrete</t>
  </si>
  <si>
    <t>Mineral fibreboard</t>
  </si>
  <si>
    <t>Mud phuska</t>
  </si>
  <si>
    <t>NA</t>
  </si>
  <si>
    <t>Plywood</t>
  </si>
  <si>
    <t>Polyurethane foam</t>
  </si>
  <si>
    <t>Reinforced cement concrete (RCC)</t>
  </si>
  <si>
    <t>Resource efficient (hollow) brick</t>
  </si>
  <si>
    <t>Solid concrete block 25/50</t>
  </si>
  <si>
    <t>Solid concrete block 30/60</t>
  </si>
  <si>
    <t>Solid Glass</t>
  </si>
  <si>
    <t>Steel</t>
  </si>
  <si>
    <t>Timber</t>
  </si>
  <si>
    <t>Extruded Polystyrene (XPS)</t>
  </si>
  <si>
    <t>Expanded Polystryrene (EPS)</t>
  </si>
  <si>
    <t>Polyurethane foam (PUF)</t>
  </si>
  <si>
    <t>Reinforced cement concrete (RCC) - Wall</t>
  </si>
  <si>
    <t>Polyurethane foam (PUF) - Roof</t>
  </si>
  <si>
    <t>SBB</t>
  </si>
  <si>
    <t>G</t>
  </si>
  <si>
    <t>ACSh</t>
  </si>
  <si>
    <t>AAC</t>
  </si>
  <si>
    <t>BrkTile</t>
  </si>
  <si>
    <t>CelConc</t>
  </si>
  <si>
    <t>CemFibBoard</t>
  </si>
  <si>
    <t>CSEBhi</t>
  </si>
  <si>
    <t>CSEBlo</t>
  </si>
  <si>
    <t>CSEBmed</t>
  </si>
  <si>
    <t>CE</t>
  </si>
  <si>
    <t>DC</t>
  </si>
  <si>
    <t>DCT</t>
  </si>
  <si>
    <t>FCBHi</t>
  </si>
  <si>
    <t>FCBLo</t>
  </si>
  <si>
    <t>CP</t>
  </si>
  <si>
    <t>FAB</t>
  </si>
  <si>
    <t>HCONCREB</t>
  </si>
  <si>
    <t>LCONCREB</t>
  </si>
  <si>
    <t>RHOLLOB</t>
  </si>
  <si>
    <t>RCC</t>
  </si>
  <si>
    <t>CM</t>
  </si>
  <si>
    <t>CMDry</t>
  </si>
  <si>
    <t>GS</t>
  </si>
  <si>
    <t>GYPSUPL</t>
  </si>
  <si>
    <t>HEAVYMAS</t>
  </si>
  <si>
    <t>LIGHTMAS</t>
  </si>
  <si>
    <t>MINERF</t>
  </si>
  <si>
    <t>MUDPHUSK</t>
  </si>
  <si>
    <t>PLYW</t>
  </si>
  <si>
    <t>POLYUF</t>
  </si>
  <si>
    <t>SolidG</t>
  </si>
  <si>
    <t>SL</t>
  </si>
  <si>
    <t>TI</t>
  </si>
  <si>
    <t>XPS</t>
  </si>
  <si>
    <t>EPS</t>
  </si>
  <si>
    <t>PUF</t>
  </si>
  <si>
    <t>PUF_ROOF</t>
  </si>
  <si>
    <t>RCC_WALL</t>
  </si>
  <si>
    <t>LIMECONC</t>
  </si>
  <si>
    <t>Sp_Heat(J/kgK)</t>
  </si>
  <si>
    <t>Density(kg/m3)</t>
  </si>
  <si>
    <t>Conductivity(W/mK)</t>
  </si>
  <si>
    <t>Thickness(m)</t>
  </si>
  <si>
    <t>SCB_25_50</t>
  </si>
  <si>
    <t>SCB_30_60</t>
  </si>
  <si>
    <t>Thickness(ft)</t>
  </si>
  <si>
    <t>Conductivity(BTU/(hr·ft·°F))</t>
  </si>
  <si>
    <t>Density(lb/ft³)</t>
  </si>
  <si>
    <t>Sp_Heat(BTU/lb·°F)</t>
  </si>
  <si>
    <t>SCB</t>
  </si>
  <si>
    <t>L1</t>
  </si>
  <si>
    <t>L2</t>
  </si>
  <si>
    <t>L3</t>
  </si>
  <si>
    <t>L4</t>
  </si>
  <si>
    <t>Layers</t>
  </si>
  <si>
    <t>L5</t>
  </si>
  <si>
    <t>DefaultThick(ft)</t>
  </si>
  <si>
    <t>Percent</t>
  </si>
  <si>
    <t>ECM_PUF</t>
  </si>
  <si>
    <t>L6</t>
  </si>
  <si>
    <t>Mat_2</t>
  </si>
  <si>
    <t>RValue</t>
  </si>
  <si>
    <t>R-Value</t>
  </si>
  <si>
    <t>Materials</t>
  </si>
  <si>
    <t>Brk</t>
  </si>
  <si>
    <t>Thicknes(ft)</t>
  </si>
  <si>
    <t>Conductivity</t>
  </si>
  <si>
    <t>Density</t>
  </si>
  <si>
    <t>Specific Heat</t>
  </si>
  <si>
    <t>XPS_5</t>
  </si>
  <si>
    <t>XPS_7.5</t>
  </si>
  <si>
    <t>R</t>
  </si>
  <si>
    <t>XPS_10</t>
  </si>
  <si>
    <t>XPS_12.5</t>
  </si>
  <si>
    <t>XPS_15</t>
  </si>
  <si>
    <t>XPS_17.5</t>
  </si>
  <si>
    <t>XPS_20</t>
  </si>
  <si>
    <t>XPS_22.5</t>
  </si>
  <si>
    <t>XPS_25</t>
  </si>
  <si>
    <t>XPS_27.5</t>
  </si>
  <si>
    <t>XPS_30</t>
  </si>
  <si>
    <t>XPS_2</t>
  </si>
  <si>
    <t>XPS_2.5</t>
  </si>
  <si>
    <t>Concrete</t>
  </si>
  <si>
    <t>GlassType</t>
  </si>
  <si>
    <t>U-Value</t>
  </si>
  <si>
    <t>VLT</t>
  </si>
  <si>
    <t>SHGC</t>
  </si>
  <si>
    <t>IDs</t>
  </si>
  <si>
    <t>SC</t>
  </si>
  <si>
    <t>MetalDeck</t>
  </si>
  <si>
    <t>DensityCharcterization</t>
  </si>
  <si>
    <t>CementBoard</t>
  </si>
  <si>
    <t>GypBoard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</si>
</sst>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84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0" fillId="4" borderId="0" xfId="0" applyFill="1"/>
    <xf numFmtId="0" fontId="2" fillId="0" borderId="0" xfId="0" applyFont="1"/>
    <xf numFmtId="0" fontId="0" fillId="2" borderId="0" xfId="0" applyFill="1"/>
    <xf numFmtId="2" fontId="0" fillId="0" borderId="0" xfId="0" applyNumberFormat="1"/>
    <xf numFmtId="9" fontId="0" fillId="0" borderId="0" xfId="0" applyNumberFormat="1"/>
    <xf numFmtId="0" fontId="2" fillId="4" borderId="0" xfId="0" applyFont="1" applyFill="1"/>
    <xf numFmtId="0" fontId="0" fillId="5" borderId="1" xfId="0" applyFill="1" applyBorder="1"/>
    <xf numFmtId="0" fontId="0" fillId="0" borderId="1" xfId="0" applyBorder="1"/>
    <xf numFmtId="0" fontId="0" fillId="0" borderId="2" xfId="0" applyBorder="1"/>
    <xf numFmtId="164" fontId="0" fillId="0" borderId="0" xfId="0" applyNumberFormat="1"/>
    <xf numFmtId="164" fontId="0" fillId="5" borderId="1" xfId="0" applyNumberFormat="1" applyFill="1" applyBorder="1"/>
    <xf numFmtId="164" fontId="0" fillId="0" borderId="1" xfId="0" applyNumberFormat="1" applyBorder="1"/>
    <xf numFmtId="1" fontId="0" fillId="0" borderId="0" xfId="0" applyNumberFormat="1"/>
    <xf numFmtId="164" fontId="0" fillId="0" borderId="3" xfId="0" applyNumberFormat="1" applyBorder="1"/>
    <xf numFmtId="0" fontId="0" fillId="0" borderId="3" xfId="0" applyBorder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3" formatCode="0%"/>
    </dxf>
    <dxf>
      <numFmt numFmtId="1" formatCode="0"/>
    </dxf>
    <dxf>
      <numFmt numFmtId="13" formatCode="0%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CF591-5023-4D9A-B213-46FA344FC4DE}" name="Table76" displayName="Table76" ref="A1:J18" totalsRowShown="0">
  <autoFilter ref="A1:J18" xr:uid="{E91CF591-5023-4D9A-B213-46FA344FC4DE}"/>
  <tableColumns count="10">
    <tableColumn id="2" xr3:uid="{036CA366-E5B4-40EF-87D3-D50818C6026A}" name="Glass Type"/>
    <tableColumn id="3" xr3:uid="{374B47F7-097E-433C-8F0F-3B57D68C29A5}" name="U-value (COG)"/>
    <tableColumn id="4" xr3:uid="{66F0FFC7-B277-49F5-9174-8CA92F27A69D}" name="GLASS-CONDUCT"/>
    <tableColumn id="6" xr3:uid="{362863A1-846B-492E-9445-8E9F9996964C}" name="VIS-TRANS"/>
    <tableColumn id="5" xr3:uid="{7B030821-CBFF-452E-A144-5A71D40A306C}" name="Climate"/>
    <tableColumn id="8" xr3:uid="{A9157E33-C7DC-4C1B-87FC-385FC94A7F02}" name="U-Value(IP)" dataDxfId="20">
      <calculatedColumnFormula>Table76[[#This Row],[U-value (COG)]]/5.67</calculatedColumnFormula>
    </tableColumn>
    <tableColumn id="9" xr3:uid="{F24395BE-CDA6-467D-B53A-F31A3B06D6EE}" name="SHADING-COEF" dataDxfId="19">
      <calculatedColumnFormula>Table76[[#This Row],[GLASS-CONDUCT]]/0.87</calculatedColumnFormula>
    </tableColumn>
    <tableColumn id="10" xr3:uid="{0020A0B6-5F10-4DBF-A1CB-C6C8E66F5C89}" name="Glass">
      <calculatedColumnFormula>IF(Table76[[#This Row],[Glass Type]]="Double Glazed","DG","SG")</calculatedColumnFormula>
    </tableColumn>
    <tableColumn id="11" xr3:uid="{AF522533-E75F-4F74-A4A9-1A5F44173911}" name="GLASS-TYPE" dataDxfId="18">
      <calculatedColumnFormula>CONCATENATE("ML_",Table76[[#This Row],[Glass]],"_",ROUND(Table76[[#This Row],[U-Value(IP)]],2),"_",ROUND(Table76[[#This Row],[SHADING-COEF]],2),"_",Table76[[#This Row],[VIS-TRANS]],"_",Table76[[#This Row],[Climate]])</calculatedColumnFormula>
    </tableColumn>
    <tableColumn id="1" xr3:uid="{A4C99173-100D-4952-A217-1C14BF8E1B45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08817-2B27-493B-97FE-1D6BE77AD136}" name="Table2" displayName="Table2" ref="A1:B9" totalsRowShown="0">
  <autoFilter ref="A1:B9" xr:uid="{0F508817-2B27-493B-97FE-1D6BE77AD136}"/>
  <tableColumns count="2">
    <tableColumn id="1" xr3:uid="{D30D2A00-01D2-4315-B527-ED00953F9DF4}" name="Rotate">
      <calculatedColumnFormula>A1+45</calculatedColumnFormula>
    </tableColumn>
    <tableColumn id="2" xr3:uid="{E902D2E4-7140-48DD-AEB8-74D6D38244FC}" name="Orien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4E8765-9D71-4C3B-AFD5-84DCDB82951B}" name="Table3" displayName="Table3" ref="A1:C9" totalsRowShown="0">
  <autoFilter ref="A1:C9" xr:uid="{204E8765-9D71-4C3B-AFD5-84DCDB82951B}"/>
  <tableColumns count="3">
    <tableColumn id="1" xr3:uid="{A654C06E-674D-44BB-A698-ABC0FB2B36EE}" name="Improvement" dataDxfId="17"/>
    <tableColumn id="2" xr3:uid="{FF0CB8F4-6967-4F1A-9D4C-C5AD7575E190}" name="Code" dataDxfId="16"/>
    <tableColumn id="3" xr3:uid="{B05AFA21-8F85-49C7-89CB-13C8210A3193}" nam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A27F45-C6F9-4C6B-B8B3-ADC4A6F86BE6}" name="Table35" displayName="Table35" ref="A1:C12" totalsRowShown="0">
  <autoFilter ref="A1:C12" xr:uid="{83A27F45-C6F9-4C6B-B8B3-ADC4A6F86BE6}"/>
  <tableColumns count="3">
    <tableColumn id="1" xr3:uid="{10246D53-BAB9-4FAC-88C1-8CDD5722C30A}" name="Improvement" dataDxfId="15"/>
    <tableColumn id="2" xr3:uid="{805B27FA-8516-4E17-80A7-A3AE93F00705}" name="Code" dataDxfId="14"/>
    <tableColumn id="3" xr3:uid="{E001AACA-CBC5-48F1-BB76-386FF7C288BA}" nam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8D75F5-61EA-4ABB-B34A-9F5D28AC70C1}" name="Table5" displayName="Table5" ref="A1:F45" totalsRowShown="0">
  <autoFilter ref="A1:F45" xr:uid="{5F8D75F5-61EA-4ABB-B34A-9F5D28AC70C1}"/>
  <tableColumns count="6">
    <tableColumn id="1" xr3:uid="{CDFD2371-CFB9-44C4-A768-6CF41416AA87}" name="Material" dataDxfId="13"/>
    <tableColumn id="2" xr3:uid="{2A485A02-5868-4B1D-9B3B-0051EB3E7082}" name="Code" dataDxfId="12"/>
    <tableColumn id="3" xr3:uid="{A111CDC4-83B3-4553-AE17-AF99B554B4C3}" name="Thickness(m)" dataDxfId="11"/>
    <tableColumn id="4" xr3:uid="{F84EE546-D1C0-4BB6-915B-C5850A778A31}" name="Conductivity(W/mK)" dataDxfId="10"/>
    <tableColumn id="5" xr3:uid="{1126B489-A385-4ED0-A52F-D8D6F87FA83C}" name="Density(kg/m3)" dataDxfId="9"/>
    <tableColumn id="6" xr3:uid="{B023A7E0-12EA-4DFF-9535-D3BF7C431CEC}" name="Sp_Heat(J/kgK)" dataDxfId="8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4F2EA9-85E8-42AA-A858-8B4255DFAE13}" name="Table57" displayName="Table57" ref="A1:F46" totalsRowShown="0">
  <autoFilter ref="A1:F46" xr:uid="{484F2EA9-85E8-42AA-A858-8B4255DFAE13}"/>
  <tableColumns count="6">
    <tableColumn id="1" xr3:uid="{095621F1-DBFF-4873-A342-3189C162BED1}" name="Material" dataDxfId="7"/>
    <tableColumn id="2" xr3:uid="{3FDB1D89-4D54-417B-8EF9-2453BD7B4ACF}" name="Code" dataDxfId="6"/>
    <tableColumn id="4" xr3:uid="{8DFAC35D-9D32-47F0-A789-D94004381742}" name="Conductivity(BTU/(hr·ft·°F))" dataDxfId="5"/>
    <tableColumn id="5" xr3:uid="{515701FA-DE26-453E-B614-41C3DB54FD2D}" name="Density(lb/ft³)" dataDxfId="4"/>
    <tableColumn id="6" xr3:uid="{B9E843D3-4241-4E61-8194-A118BF9D3526}" name="Sp_Heat(BTU/lb·°F)" dataDxfId="3"/>
    <tableColumn id="8" xr3:uid="{E1B7982F-7770-4C8A-B4D1-A33811121C81}" name="DefaultThick(ft)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A17F-7B9F-47DF-B0FB-F4D2B4C441C0}">
  <dimension ref="A1:R97"/>
  <sheetViews>
    <sheetView tabSelected="1" topLeftCell="F1" workbookViewId="0">
      <selection activeCell="W5" sqref="W5"/>
    </sheetView>
  </sheetViews>
  <sheetFormatPr defaultRowHeight="14.4" x14ac:dyDescent="0.3"/>
  <cols>
    <col min="1" max="1" width="30.109375" bestFit="1" customWidth="1"/>
    <col min="2" max="2" width="18.33203125" bestFit="1" customWidth="1"/>
    <col min="3" max="3" width="6.21875" bestFit="1" customWidth="1"/>
    <col min="4" max="4" width="9" bestFit="1" customWidth="1"/>
    <col min="5" max="5" width="11.21875" bestFit="1" customWidth="1"/>
    <col min="6" max="8" width="6.33203125" bestFit="1" customWidth="1"/>
    <col min="11" max="11" width="10.21875" bestFit="1" customWidth="1"/>
    <col min="13" max="13" width="12.21875" bestFit="1" customWidth="1"/>
    <col min="14" max="14" width="11.44140625" bestFit="1" customWidth="1"/>
    <col min="15" max="15" width="10.77734375" bestFit="1" customWidth="1"/>
    <col min="16" max="16" width="9.5546875" bestFit="1" customWidth="1"/>
    <col min="17" max="17" width="11.88671875" bestFit="1" customWidth="1"/>
    <col min="18" max="18" width="8.5546875" bestFit="1" customWidth="1"/>
  </cols>
  <sheetData>
    <row r="1" spans="1:18" x14ac:dyDescent="0.3">
      <c r="A1" t="s">
        <v>1</v>
      </c>
      <c r="B1" t="s">
        <v>2</v>
      </c>
      <c r="C1" t="s">
        <v>214</v>
      </c>
      <c r="D1" t="s">
        <v>116</v>
      </c>
      <c r="E1" t="s">
        <v>205</v>
      </c>
      <c r="L1" s="19" t="s">
        <v>231</v>
      </c>
      <c r="M1" t="s">
        <v>223</v>
      </c>
      <c r="N1" t="s">
        <v>226</v>
      </c>
      <c r="O1" t="s">
        <v>225</v>
      </c>
      <c r="P1" t="s">
        <v>227</v>
      </c>
      <c r="Q1" t="s">
        <v>228</v>
      </c>
      <c r="R1" t="s">
        <v>222</v>
      </c>
    </row>
    <row r="2" spans="1:18" x14ac:dyDescent="0.3">
      <c r="A2" s="1" t="s">
        <v>8</v>
      </c>
      <c r="B2" t="s">
        <v>9</v>
      </c>
      <c r="C2" t="s">
        <v>210</v>
      </c>
      <c r="D2" t="s">
        <v>174</v>
      </c>
      <c r="E2" s="13">
        <f>CONVERT(0.015,"m","ft")</f>
        <v>4.9212598425196853E-2</v>
      </c>
      <c r="L2">
        <v>0</v>
      </c>
      <c r="M2" t="s">
        <v>174</v>
      </c>
      <c r="N2" s="20">
        <v>0.41659400000000002</v>
      </c>
      <c r="O2" s="20">
        <v>6.5616999999999995E-2</v>
      </c>
      <c r="P2" s="7">
        <v>110</v>
      </c>
      <c r="Q2" s="7">
        <v>0.2</v>
      </c>
      <c r="R2" s="20">
        <v>0.15750800000000001</v>
      </c>
    </row>
    <row r="3" spans="1:18" x14ac:dyDescent="0.3">
      <c r="A3" s="1" t="s">
        <v>8</v>
      </c>
      <c r="B3" t="s">
        <v>9</v>
      </c>
      <c r="C3" t="s">
        <v>211</v>
      </c>
      <c r="D3" t="s">
        <v>159</v>
      </c>
      <c r="E3" s="13">
        <f>CONVERT(0.23,"m","ft")</f>
        <v>0.75459317585301833</v>
      </c>
      <c r="L3">
        <v>1</v>
      </c>
      <c r="M3" t="s">
        <v>224</v>
      </c>
      <c r="N3" s="20">
        <v>0.56624399999999997</v>
      </c>
      <c r="O3" s="20">
        <v>0.75459299999999996</v>
      </c>
      <c r="P3" s="7">
        <v>120</v>
      </c>
      <c r="Q3" s="7">
        <v>0.2</v>
      </c>
      <c r="R3" s="20">
        <v>1.3326290000000001</v>
      </c>
    </row>
    <row r="4" spans="1:18" x14ac:dyDescent="0.3">
      <c r="A4" s="1" t="s">
        <v>8</v>
      </c>
      <c r="B4" t="s">
        <v>9</v>
      </c>
      <c r="C4" t="s">
        <v>212</v>
      </c>
      <c r="D4" t="s">
        <v>174</v>
      </c>
      <c r="E4" s="13">
        <f>CONVERT(0.015,"m","ft")</f>
        <v>4.9212598425196853E-2</v>
      </c>
      <c r="L4">
        <v>2</v>
      </c>
      <c r="M4" t="s">
        <v>241</v>
      </c>
      <c r="N4" s="20">
        <v>1.6178000000000001E-2</v>
      </c>
      <c r="O4" s="20">
        <f>R4*N4</f>
        <v>5.7003991900000002E-3</v>
      </c>
      <c r="P4" s="7">
        <v>2.1800000000000002</v>
      </c>
      <c r="Q4" s="7">
        <v>0.28999999999999998</v>
      </c>
      <c r="R4" s="20">
        <f>L4-((2*R2)+R3)</f>
        <v>0.35235499999999997</v>
      </c>
    </row>
    <row r="5" spans="1:18" x14ac:dyDescent="0.3">
      <c r="A5" s="1" t="s">
        <v>8</v>
      </c>
      <c r="B5" t="s">
        <v>9</v>
      </c>
      <c r="C5" t="s">
        <v>213</v>
      </c>
      <c r="D5" t="s">
        <v>218</v>
      </c>
      <c r="E5" s="13">
        <f>CONVERT(25/1000,"m","ft")</f>
        <v>8.2020997375328086E-2</v>
      </c>
      <c r="L5">
        <v>2.5</v>
      </c>
      <c r="M5" t="s">
        <v>242</v>
      </c>
      <c r="N5" s="20">
        <v>1.6178000000000001E-2</v>
      </c>
      <c r="O5" s="20">
        <f>N5*R5</f>
        <v>1.3789399190000001E-2</v>
      </c>
      <c r="P5" s="7">
        <v>2.1800000000000002</v>
      </c>
      <c r="Q5" s="7">
        <v>0.28999999999999998</v>
      </c>
      <c r="R5" s="20">
        <f>L5-((2*R2)+R3)</f>
        <v>0.85235499999999997</v>
      </c>
    </row>
    <row r="6" spans="1:18" x14ac:dyDescent="0.3">
      <c r="A6" s="2" t="s">
        <v>11</v>
      </c>
      <c r="B6" t="s">
        <v>12</v>
      </c>
      <c r="C6" t="s">
        <v>210</v>
      </c>
      <c r="D6" t="s">
        <v>174</v>
      </c>
      <c r="E6" s="13">
        <f>CONVERT(0.015,"m","ft")</f>
        <v>4.9212598425196853E-2</v>
      </c>
      <c r="L6">
        <v>5</v>
      </c>
      <c r="M6" t="s">
        <v>229</v>
      </c>
      <c r="N6" s="20">
        <v>1.6178000000000001E-2</v>
      </c>
      <c r="O6" s="20">
        <f>N6*R6</f>
        <v>5.4234399190000004E-2</v>
      </c>
      <c r="P6" s="7">
        <v>2.1800000000000002</v>
      </c>
      <c r="Q6" s="7">
        <v>0.28999999999999998</v>
      </c>
      <c r="R6" s="20">
        <f>L6-((2*R2)+R3)</f>
        <v>3.3523550000000002</v>
      </c>
    </row>
    <row r="7" spans="1:18" x14ac:dyDescent="0.3">
      <c r="A7" s="2" t="s">
        <v>11</v>
      </c>
      <c r="B7" t="s">
        <v>12</v>
      </c>
      <c r="C7" t="s">
        <v>211</v>
      </c>
      <c r="D7" t="s">
        <v>193</v>
      </c>
      <c r="E7" s="13">
        <f>CONVERT(0.005,"m","ft")</f>
        <v>1.6404199475065617E-2</v>
      </c>
      <c r="L7">
        <v>7.5</v>
      </c>
      <c r="M7" t="s">
        <v>230</v>
      </c>
      <c r="N7" s="20">
        <v>1.6178000000000001E-2</v>
      </c>
      <c r="O7" s="20">
        <f>N7*R7</f>
        <v>9.4679399190000013E-2</v>
      </c>
      <c r="P7" s="7">
        <v>2.1800000000000002</v>
      </c>
      <c r="Q7" s="7">
        <v>0.28999999999999998</v>
      </c>
      <c r="R7" s="20">
        <f>L7-((2*R2)+R3)</f>
        <v>5.8523550000000002</v>
      </c>
    </row>
    <row r="8" spans="1:18" x14ac:dyDescent="0.3">
      <c r="A8" s="2" t="s">
        <v>11</v>
      </c>
      <c r="B8" t="s">
        <v>12</v>
      </c>
      <c r="C8" t="s">
        <v>212</v>
      </c>
      <c r="D8" t="s">
        <v>159</v>
      </c>
      <c r="E8" s="13">
        <f>CONVERT(0.23,"m","ft")</f>
        <v>0.75459317585301833</v>
      </c>
      <c r="L8">
        <v>10</v>
      </c>
      <c r="M8" t="s">
        <v>232</v>
      </c>
      <c r="N8" s="20">
        <v>1.6178000000000001E-2</v>
      </c>
      <c r="O8" s="20">
        <f t="shared" ref="O8:O16" si="0">N8*R8</f>
        <v>0.13512439918999999</v>
      </c>
      <c r="P8" s="7">
        <v>2.1800000000000002</v>
      </c>
      <c r="Q8" s="7">
        <v>0.28999999999999998</v>
      </c>
      <c r="R8" s="20">
        <f>L8-((2*R2)+R3)</f>
        <v>8.3523549999999993</v>
      </c>
    </row>
    <row r="9" spans="1:18" x14ac:dyDescent="0.3">
      <c r="A9" s="2" t="s">
        <v>11</v>
      </c>
      <c r="B9" t="s">
        <v>12</v>
      </c>
      <c r="C9" t="s">
        <v>213</v>
      </c>
      <c r="D9" t="s">
        <v>174</v>
      </c>
      <c r="E9" s="13">
        <f>CONVERT(0.015,"m","ft")</f>
        <v>4.9212598425196853E-2</v>
      </c>
      <c r="L9">
        <v>12.5</v>
      </c>
      <c r="M9" t="s">
        <v>233</v>
      </c>
      <c r="N9" s="20">
        <v>1.6178000000000001E-2</v>
      </c>
      <c r="O9" s="20">
        <f t="shared" si="0"/>
        <v>0.17556939919</v>
      </c>
      <c r="P9" s="7">
        <v>2.1800000000000002</v>
      </c>
      <c r="Q9" s="7">
        <v>0.28999999999999998</v>
      </c>
      <c r="R9" s="20">
        <f>L9-((2*R2)+R3)</f>
        <v>10.852354999999999</v>
      </c>
    </row>
    <row r="10" spans="1:18" x14ac:dyDescent="0.3">
      <c r="A10" s="2" t="s">
        <v>11</v>
      </c>
      <c r="B10" t="s">
        <v>12</v>
      </c>
      <c r="C10" t="s">
        <v>215</v>
      </c>
      <c r="D10" t="s">
        <v>218</v>
      </c>
      <c r="E10" s="13">
        <f>CONVERT(25/1000,"m","ft")</f>
        <v>8.2020997375328086E-2</v>
      </c>
      <c r="L10">
        <v>15</v>
      </c>
      <c r="M10" t="s">
        <v>234</v>
      </c>
      <c r="N10" s="20">
        <v>1.6178000000000001E-2</v>
      </c>
      <c r="O10" s="20">
        <f t="shared" si="0"/>
        <v>0.21601439919000001</v>
      </c>
      <c r="P10" s="7">
        <v>2.1800000000000002</v>
      </c>
      <c r="Q10" s="7">
        <v>0.28999999999999998</v>
      </c>
      <c r="R10" s="20">
        <f>L10-((2*R2)+R3)</f>
        <v>13.352354999999999</v>
      </c>
    </row>
    <row r="11" spans="1:18" x14ac:dyDescent="0.3">
      <c r="A11" s="2" t="s">
        <v>14</v>
      </c>
      <c r="B11" t="s">
        <v>15</v>
      </c>
      <c r="C11" t="s">
        <v>210</v>
      </c>
      <c r="D11" t="s">
        <v>174</v>
      </c>
      <c r="E11" s="13">
        <f>CONVERT(0.015,"m","ft")</f>
        <v>4.9212598425196853E-2</v>
      </c>
      <c r="L11">
        <v>17.5</v>
      </c>
      <c r="M11" t="s">
        <v>235</v>
      </c>
      <c r="N11" s="20">
        <v>1.6178000000000001E-2</v>
      </c>
      <c r="O11" s="20">
        <f t="shared" si="0"/>
        <v>0.25645939918999999</v>
      </c>
      <c r="P11" s="7">
        <v>2.1800000000000002</v>
      </c>
      <c r="Q11" s="7">
        <v>0.28999999999999998</v>
      </c>
      <c r="R11" s="20">
        <f>L11-((2*R2)+R3)</f>
        <v>15.852354999999999</v>
      </c>
    </row>
    <row r="12" spans="1:18" x14ac:dyDescent="0.3">
      <c r="A12" s="2" t="s">
        <v>14</v>
      </c>
      <c r="B12" t="s">
        <v>15</v>
      </c>
      <c r="C12" t="s">
        <v>211</v>
      </c>
      <c r="D12" t="s">
        <v>193</v>
      </c>
      <c r="E12" s="13">
        <f>CONVERT(0.01,"m","ft")</f>
        <v>3.2808398950131233E-2</v>
      </c>
      <c r="L12">
        <v>20</v>
      </c>
      <c r="M12" t="s">
        <v>236</v>
      </c>
      <c r="N12" s="20">
        <v>1.6178000000000001E-2</v>
      </c>
      <c r="O12" s="20">
        <f t="shared" si="0"/>
        <v>0.29690439919</v>
      </c>
      <c r="P12" s="7">
        <v>2.1800000000000002</v>
      </c>
      <c r="Q12" s="7">
        <v>0.28999999999999998</v>
      </c>
      <c r="R12" s="20">
        <f>L12-((2*R2)+R3)</f>
        <v>18.352354999999999</v>
      </c>
    </row>
    <row r="13" spans="1:18" x14ac:dyDescent="0.3">
      <c r="A13" s="2" t="s">
        <v>14</v>
      </c>
      <c r="B13" t="s">
        <v>15</v>
      </c>
      <c r="C13" t="s">
        <v>212</v>
      </c>
      <c r="D13" t="s">
        <v>159</v>
      </c>
      <c r="E13" s="13">
        <f>CONVERT(0.23,"m","ft")</f>
        <v>0.75459317585301833</v>
      </c>
      <c r="L13">
        <v>22.5</v>
      </c>
      <c r="M13" t="s">
        <v>237</v>
      </c>
      <c r="N13" s="20">
        <v>1.6178000000000001E-2</v>
      </c>
      <c r="O13" s="20">
        <f t="shared" si="0"/>
        <v>0.33734939919000001</v>
      </c>
      <c r="P13" s="7">
        <v>2.1800000000000002</v>
      </c>
      <c r="Q13" s="7">
        <v>0.28999999999999998</v>
      </c>
      <c r="R13" s="20">
        <f>L13-((2*R2)+R3)</f>
        <v>20.852354999999999</v>
      </c>
    </row>
    <row r="14" spans="1:18" x14ac:dyDescent="0.3">
      <c r="A14" s="2" t="s">
        <v>14</v>
      </c>
      <c r="B14" t="s">
        <v>15</v>
      </c>
      <c r="C14" t="s">
        <v>213</v>
      </c>
      <c r="D14" t="s">
        <v>174</v>
      </c>
      <c r="E14" s="13">
        <f>CONVERT(0.015,"m","ft")</f>
        <v>4.9212598425196853E-2</v>
      </c>
      <c r="L14">
        <v>25</v>
      </c>
      <c r="M14" t="s">
        <v>238</v>
      </c>
      <c r="N14" s="20">
        <v>1.6178000000000001E-2</v>
      </c>
      <c r="O14" s="20">
        <f t="shared" si="0"/>
        <v>0.37779439919000002</v>
      </c>
      <c r="P14" s="7">
        <v>2.1800000000000002</v>
      </c>
      <c r="Q14" s="7">
        <v>0.28999999999999998</v>
      </c>
      <c r="R14" s="20">
        <f>L14-((2*R2)+R3)</f>
        <v>23.352354999999999</v>
      </c>
    </row>
    <row r="15" spans="1:18" x14ac:dyDescent="0.3">
      <c r="A15" s="2" t="s">
        <v>14</v>
      </c>
      <c r="B15" t="s">
        <v>15</v>
      </c>
      <c r="C15" t="s">
        <v>215</v>
      </c>
      <c r="D15" t="s">
        <v>218</v>
      </c>
      <c r="E15" s="13">
        <f>CONVERT(25/1000,"m","ft")</f>
        <v>8.2020997375328086E-2</v>
      </c>
      <c r="L15">
        <v>27.5</v>
      </c>
      <c r="M15" t="s">
        <v>239</v>
      </c>
      <c r="N15" s="20">
        <v>1.6178000000000001E-2</v>
      </c>
      <c r="O15" s="20">
        <f t="shared" si="0"/>
        <v>0.41823939919000003</v>
      </c>
      <c r="P15" s="7">
        <v>2.1800000000000002</v>
      </c>
      <c r="Q15" s="7">
        <v>0.28999999999999998</v>
      </c>
      <c r="R15" s="20">
        <f>L15-((2*R2)+R3)</f>
        <v>25.852354999999999</v>
      </c>
    </row>
    <row r="16" spans="1:18" x14ac:dyDescent="0.3">
      <c r="A16" s="2" t="s">
        <v>17</v>
      </c>
      <c r="B16" t="s">
        <v>18</v>
      </c>
      <c r="C16" t="s">
        <v>210</v>
      </c>
      <c r="D16" t="s">
        <v>174</v>
      </c>
      <c r="E16" s="13">
        <f>CONVERT(0.015,"m","ft")</f>
        <v>4.9212598425196853E-2</v>
      </c>
      <c r="L16">
        <v>30</v>
      </c>
      <c r="M16" t="s">
        <v>240</v>
      </c>
      <c r="N16" s="20">
        <v>1.6178000000000001E-2</v>
      </c>
      <c r="O16" s="20">
        <f t="shared" si="0"/>
        <v>0.45868439919000004</v>
      </c>
      <c r="P16" s="7">
        <v>2.1800000000000002</v>
      </c>
      <c r="Q16" s="7">
        <v>0.28999999999999998</v>
      </c>
      <c r="R16" s="20">
        <f>L16-((2*R2)+R3)</f>
        <v>28.352354999999999</v>
      </c>
    </row>
    <row r="17" spans="1:18" x14ac:dyDescent="0.3">
      <c r="A17" s="2" t="s">
        <v>17</v>
      </c>
      <c r="B17" t="s">
        <v>18</v>
      </c>
      <c r="C17" t="s">
        <v>211</v>
      </c>
      <c r="D17" t="s">
        <v>194</v>
      </c>
      <c r="E17" s="13">
        <f>CONVERT(25/1000,"m","ft")</f>
        <v>8.2020997375328086E-2</v>
      </c>
      <c r="M17" t="s">
        <v>252</v>
      </c>
      <c r="N17">
        <f>0.57*0.5778</f>
        <v>0.32934599999999997</v>
      </c>
      <c r="O17" s="20">
        <f>20/304.8</f>
        <v>6.5616797900262466E-2</v>
      </c>
      <c r="P17">
        <f>1900*0.06243</f>
        <v>118.617</v>
      </c>
      <c r="Q17">
        <v>0.23880000000000001</v>
      </c>
      <c r="R17">
        <f>O17/N17</f>
        <v>0.1992336263390552</v>
      </c>
    </row>
    <row r="18" spans="1:18" x14ac:dyDescent="0.3">
      <c r="A18" s="2" t="s">
        <v>17</v>
      </c>
      <c r="B18" t="s">
        <v>18</v>
      </c>
      <c r="C18" t="s">
        <v>212</v>
      </c>
      <c r="D18" t="s">
        <v>159</v>
      </c>
      <c r="E18" s="13">
        <f>CONVERT(0.23,"m","ft")</f>
        <v>0.75459317585301833</v>
      </c>
      <c r="M18" t="s">
        <v>253</v>
      </c>
      <c r="N18">
        <f>0.16*0.5778</f>
        <v>9.2448000000000002E-2</v>
      </c>
      <c r="O18" s="20">
        <f>15/304.8</f>
        <v>4.9212598425196846E-2</v>
      </c>
      <c r="P18">
        <f>640*0.06243</f>
        <v>39.955199999999998</v>
      </c>
      <c r="Q18">
        <f>1.15*0.2388</f>
        <v>0.27461999999999998</v>
      </c>
      <c r="R18">
        <f>O18/N18</f>
        <v>0.53232734537466297</v>
      </c>
    </row>
    <row r="19" spans="1:18" x14ac:dyDescent="0.3">
      <c r="A19" s="2" t="s">
        <v>17</v>
      </c>
      <c r="B19" t="s">
        <v>18</v>
      </c>
      <c r="C19" t="s">
        <v>213</v>
      </c>
      <c r="D19" t="s">
        <v>174</v>
      </c>
      <c r="E19" s="13">
        <f>CONVERT(0.015,"m","ft")</f>
        <v>4.9212598425196853E-2</v>
      </c>
      <c r="L19">
        <v>2.5</v>
      </c>
      <c r="M19" t="s">
        <v>242</v>
      </c>
      <c r="N19" s="20">
        <v>1.6178000000000001E-2</v>
      </c>
      <c r="O19">
        <f>N19*R19</f>
        <v>2.860980659961547E-2</v>
      </c>
      <c r="P19" s="7">
        <v>2.1800000000000002</v>
      </c>
      <c r="Q19" s="7">
        <v>0.28999999999999998</v>
      </c>
      <c r="R19">
        <f>L19-(R17+R18)</f>
        <v>1.7684390282862819</v>
      </c>
    </row>
    <row r="20" spans="1:18" x14ac:dyDescent="0.3">
      <c r="A20" s="2" t="s">
        <v>17</v>
      </c>
      <c r="B20" t="s">
        <v>18</v>
      </c>
      <c r="C20" t="s">
        <v>215</v>
      </c>
      <c r="D20" t="s">
        <v>218</v>
      </c>
      <c r="E20" s="13">
        <f>CONVERT(25/1000,"m","ft")</f>
        <v>8.2020997375328086E-2</v>
      </c>
      <c r="L20">
        <v>5</v>
      </c>
      <c r="M20" t="s">
        <v>229</v>
      </c>
      <c r="N20" s="20">
        <v>1.6178000000000001E-2</v>
      </c>
      <c r="O20">
        <f t="shared" ref="O20:O30" si="1">N20*R20</f>
        <v>6.9054806599615465E-2</v>
      </c>
      <c r="P20" s="7">
        <v>2.1800000000000002</v>
      </c>
      <c r="Q20" s="7">
        <v>0.28999999999999998</v>
      </c>
      <c r="R20">
        <f>L20-(R18+R17)</f>
        <v>4.2684390282862816</v>
      </c>
    </row>
    <row r="21" spans="1:18" x14ac:dyDescent="0.3">
      <c r="A21" s="2" t="s">
        <v>20</v>
      </c>
      <c r="B21" t="s">
        <v>21</v>
      </c>
      <c r="C21" t="s">
        <v>210</v>
      </c>
      <c r="D21" t="s">
        <v>174</v>
      </c>
      <c r="E21" s="13">
        <f>CONVERT(0.015,"m","ft")</f>
        <v>4.9212598425196853E-2</v>
      </c>
      <c r="L21">
        <v>7.5</v>
      </c>
      <c r="M21" t="s">
        <v>230</v>
      </c>
      <c r="N21" s="20">
        <v>1.6178000000000001E-2</v>
      </c>
      <c r="O21">
        <f t="shared" si="1"/>
        <v>0.10949980659961547</v>
      </c>
      <c r="P21" s="7">
        <v>2.1800000000000002</v>
      </c>
      <c r="Q21" s="7">
        <v>0.28999999999999998</v>
      </c>
      <c r="R21">
        <f>L21-(R17+R18)</f>
        <v>6.7684390282862816</v>
      </c>
    </row>
    <row r="22" spans="1:18" x14ac:dyDescent="0.3">
      <c r="A22" s="2" t="s">
        <v>20</v>
      </c>
      <c r="B22" t="s">
        <v>21</v>
      </c>
      <c r="C22" t="s">
        <v>211</v>
      </c>
      <c r="D22" t="s">
        <v>194</v>
      </c>
      <c r="E22" s="13">
        <f>CONVERT(50/1000,"m","ft")</f>
        <v>0.16404199475065617</v>
      </c>
      <c r="L22">
        <v>10</v>
      </c>
      <c r="M22" t="s">
        <v>232</v>
      </c>
      <c r="N22" s="20">
        <v>1.6178000000000001E-2</v>
      </c>
      <c r="O22">
        <f>N22*R22</f>
        <v>0.14994480659961548</v>
      </c>
      <c r="P22" s="7">
        <v>2.1800000000000002</v>
      </c>
      <c r="Q22" s="7">
        <v>0.28999999999999998</v>
      </c>
      <c r="R22">
        <f>L22-(R17+R18)</f>
        <v>9.2684390282862825</v>
      </c>
    </row>
    <row r="23" spans="1:18" x14ac:dyDescent="0.3">
      <c r="A23" s="2" t="s">
        <v>20</v>
      </c>
      <c r="B23" t="s">
        <v>21</v>
      </c>
      <c r="C23" t="s">
        <v>212</v>
      </c>
      <c r="D23" t="s">
        <v>159</v>
      </c>
      <c r="E23" s="13">
        <f>CONVERT(0.23,"m","ft")</f>
        <v>0.75459317585301833</v>
      </c>
      <c r="L23">
        <v>12.5</v>
      </c>
      <c r="M23" t="s">
        <v>233</v>
      </c>
      <c r="N23" s="20">
        <v>1.6178000000000001E-2</v>
      </c>
      <c r="O23">
        <f t="shared" si="1"/>
        <v>0.19038980659961549</v>
      </c>
      <c r="P23" s="7">
        <v>2.1800000000000002</v>
      </c>
      <c r="Q23" s="7">
        <v>0.28999999999999998</v>
      </c>
      <c r="R23">
        <f>L23-(R17+R18)</f>
        <v>11.768439028286283</v>
      </c>
    </row>
    <row r="24" spans="1:18" x14ac:dyDescent="0.3">
      <c r="A24" s="2" t="s">
        <v>20</v>
      </c>
      <c r="B24" t="s">
        <v>21</v>
      </c>
      <c r="C24" t="s">
        <v>213</v>
      </c>
      <c r="D24" t="s">
        <v>174</v>
      </c>
      <c r="E24" s="13">
        <f>CONVERT(0.015,"m","ft")</f>
        <v>4.9212598425196853E-2</v>
      </c>
      <c r="L24">
        <v>15</v>
      </c>
      <c r="M24" t="s">
        <v>234</v>
      </c>
      <c r="N24" s="20">
        <v>1.6178000000000001E-2</v>
      </c>
      <c r="O24">
        <f t="shared" si="1"/>
        <v>0.2308348065996155</v>
      </c>
      <c r="P24" s="7">
        <v>2.1800000000000002</v>
      </c>
      <c r="Q24" s="7">
        <v>0.28999999999999998</v>
      </c>
      <c r="R24">
        <f>L24-(R18+R17)</f>
        <v>14.268439028286283</v>
      </c>
    </row>
    <row r="25" spans="1:18" x14ac:dyDescent="0.3">
      <c r="A25" s="2" t="s">
        <v>20</v>
      </c>
      <c r="B25" t="s">
        <v>21</v>
      </c>
      <c r="C25" t="s">
        <v>215</v>
      </c>
      <c r="D25" t="s">
        <v>218</v>
      </c>
      <c r="E25" s="13">
        <f>CONVERT(25/1000,"m","ft")</f>
        <v>8.2020997375328086E-2</v>
      </c>
      <c r="L25">
        <v>17.5</v>
      </c>
      <c r="M25" t="s">
        <v>235</v>
      </c>
      <c r="N25" s="20">
        <v>1.6178000000000001E-2</v>
      </c>
      <c r="O25">
        <f t="shared" si="1"/>
        <v>0.27127980659961548</v>
      </c>
      <c r="P25" s="7">
        <v>2.1800000000000002</v>
      </c>
      <c r="Q25" s="7">
        <v>0.28999999999999998</v>
      </c>
      <c r="R25">
        <f>L25-(R17+R18)</f>
        <v>16.768439028286281</v>
      </c>
    </row>
    <row r="26" spans="1:18" x14ac:dyDescent="0.3">
      <c r="A26" s="2" t="s">
        <v>23</v>
      </c>
      <c r="B26" t="s">
        <v>24</v>
      </c>
      <c r="C26" t="s">
        <v>210</v>
      </c>
      <c r="D26" t="s">
        <v>174</v>
      </c>
      <c r="E26" s="13">
        <f>CONVERT(0.015,"m","ft")</f>
        <v>4.9212598425196853E-2</v>
      </c>
      <c r="L26">
        <v>20</v>
      </c>
      <c r="M26" t="s">
        <v>236</v>
      </c>
      <c r="N26" s="20">
        <v>1.6178000000000001E-2</v>
      </c>
      <c r="O26">
        <f t="shared" si="1"/>
        <v>0.31172480659961549</v>
      </c>
      <c r="P26" s="7">
        <v>2.1800000000000002</v>
      </c>
      <c r="Q26" s="7">
        <v>0.28999999999999998</v>
      </c>
      <c r="R26">
        <f>L26-(R17+R18)</f>
        <v>19.268439028286281</v>
      </c>
    </row>
    <row r="27" spans="1:18" x14ac:dyDescent="0.3">
      <c r="A27" s="2" t="s">
        <v>23</v>
      </c>
      <c r="B27" t="s">
        <v>24</v>
      </c>
      <c r="C27" t="s">
        <v>211</v>
      </c>
      <c r="D27" t="s">
        <v>162</v>
      </c>
      <c r="E27" s="13">
        <f>CONVERT(0.2,"m","ft")</f>
        <v>0.65616797900262469</v>
      </c>
      <c r="L27">
        <v>22.5</v>
      </c>
      <c r="M27" t="s">
        <v>237</v>
      </c>
      <c r="N27" s="20">
        <v>1.6178000000000001E-2</v>
      </c>
      <c r="O27">
        <f t="shared" si="1"/>
        <v>0.3521698065996155</v>
      </c>
      <c r="P27" s="7">
        <v>2.1800000000000002</v>
      </c>
      <c r="Q27" s="7">
        <v>0.28999999999999998</v>
      </c>
      <c r="R27">
        <f>L27-(R17+R18)</f>
        <v>21.768439028286281</v>
      </c>
    </row>
    <row r="28" spans="1:18" x14ac:dyDescent="0.3">
      <c r="A28" s="2" t="s">
        <v>23</v>
      </c>
      <c r="B28" t="s">
        <v>24</v>
      </c>
      <c r="C28" t="s">
        <v>212</v>
      </c>
      <c r="D28" t="s">
        <v>174</v>
      </c>
      <c r="E28" s="13">
        <f>CONVERT(0.015,"m","ft")</f>
        <v>4.9212598425196853E-2</v>
      </c>
      <c r="L28">
        <v>25</v>
      </c>
      <c r="M28" t="s">
        <v>238</v>
      </c>
      <c r="N28" s="20">
        <v>1.6178000000000001E-2</v>
      </c>
      <c r="O28">
        <f t="shared" si="1"/>
        <v>0.39261480659961551</v>
      </c>
      <c r="P28" s="7">
        <v>2.1800000000000002</v>
      </c>
      <c r="Q28" s="7">
        <v>0.28999999999999998</v>
      </c>
      <c r="R28">
        <f>L28-(R17+R18)</f>
        <v>24.268439028286281</v>
      </c>
    </row>
    <row r="29" spans="1:18" x14ac:dyDescent="0.3">
      <c r="A29" s="2" t="s">
        <v>23</v>
      </c>
      <c r="B29" t="s">
        <v>24</v>
      </c>
      <c r="C29" t="s">
        <v>213</v>
      </c>
      <c r="D29" t="s">
        <v>218</v>
      </c>
      <c r="E29" s="13">
        <f>CONVERT(25/1000,"m","ft")</f>
        <v>8.2020997375328086E-2</v>
      </c>
      <c r="L29">
        <v>27.5</v>
      </c>
      <c r="M29" t="s">
        <v>239</v>
      </c>
      <c r="N29" s="20">
        <v>1.6178000000000001E-2</v>
      </c>
      <c r="O29">
        <f t="shared" si="1"/>
        <v>0.43305980659961546</v>
      </c>
      <c r="P29" s="7">
        <v>2.1800000000000002</v>
      </c>
      <c r="Q29" s="7">
        <v>0.28999999999999998</v>
      </c>
      <c r="R29">
        <f>L29-(R17+R18)</f>
        <v>26.768439028286281</v>
      </c>
    </row>
    <row r="30" spans="1:18" x14ac:dyDescent="0.3">
      <c r="A30" s="2" t="s">
        <v>26</v>
      </c>
      <c r="B30" t="s">
        <v>27</v>
      </c>
      <c r="C30" t="s">
        <v>210</v>
      </c>
      <c r="D30" t="s">
        <v>174</v>
      </c>
      <c r="E30" s="13">
        <f>CONVERT(0.015,"m","ft")</f>
        <v>4.9212598425196853E-2</v>
      </c>
      <c r="L30">
        <v>30</v>
      </c>
      <c r="M30" t="s">
        <v>240</v>
      </c>
      <c r="N30" s="20">
        <v>1.6178000000000001E-2</v>
      </c>
      <c r="O30">
        <f t="shared" si="1"/>
        <v>0.47350480659961547</v>
      </c>
      <c r="P30" s="7">
        <v>2.1800000000000002</v>
      </c>
      <c r="Q30" s="7">
        <v>0.28999999999999998</v>
      </c>
      <c r="R30">
        <f>L30-(R18+R17)</f>
        <v>29.268439028286281</v>
      </c>
    </row>
    <row r="31" spans="1:18" x14ac:dyDescent="0.3">
      <c r="A31" s="2" t="s">
        <v>26</v>
      </c>
      <c r="B31" t="s">
        <v>27</v>
      </c>
      <c r="C31" t="s">
        <v>211</v>
      </c>
      <c r="D31" t="s">
        <v>194</v>
      </c>
      <c r="E31" s="13">
        <f>CONVERT(25/1000,"m","ft")</f>
        <v>8.2020997375328086E-2</v>
      </c>
      <c r="N31" s="20"/>
      <c r="P31" s="7"/>
      <c r="Q31" s="7"/>
    </row>
    <row r="32" spans="1:18" x14ac:dyDescent="0.3">
      <c r="A32" s="2" t="s">
        <v>26</v>
      </c>
      <c r="B32" t="s">
        <v>27</v>
      </c>
      <c r="C32" t="s">
        <v>212</v>
      </c>
      <c r="D32" t="s">
        <v>162</v>
      </c>
      <c r="E32" s="13">
        <f>CONVERT(0.2,"m","ft")</f>
        <v>0.65616797900262469</v>
      </c>
    </row>
    <row r="33" spans="1:5" x14ac:dyDescent="0.3">
      <c r="A33" s="2" t="s">
        <v>26</v>
      </c>
      <c r="B33" t="s">
        <v>27</v>
      </c>
      <c r="C33" t="s">
        <v>213</v>
      </c>
      <c r="D33" t="s">
        <v>174</v>
      </c>
      <c r="E33" s="13">
        <f>CONVERT(0.015,"m","ft")</f>
        <v>4.9212598425196853E-2</v>
      </c>
    </row>
    <row r="34" spans="1:5" x14ac:dyDescent="0.3">
      <c r="A34" s="2" t="s">
        <v>26</v>
      </c>
      <c r="B34" t="s">
        <v>27</v>
      </c>
      <c r="C34" t="s">
        <v>215</v>
      </c>
      <c r="D34" t="s">
        <v>218</v>
      </c>
      <c r="E34" s="13">
        <f>CONVERT(25/1000,"m","ft")</f>
        <v>8.2020997375328086E-2</v>
      </c>
    </row>
    <row r="35" spans="1:5" x14ac:dyDescent="0.3">
      <c r="A35" s="2" t="s">
        <v>29</v>
      </c>
      <c r="B35" t="s">
        <v>30</v>
      </c>
      <c r="C35" t="s">
        <v>210</v>
      </c>
      <c r="D35" t="s">
        <v>174</v>
      </c>
      <c r="E35" s="13">
        <f>CONVERT(0.015,"m","ft")</f>
        <v>4.9212598425196853E-2</v>
      </c>
    </row>
    <row r="36" spans="1:5" x14ac:dyDescent="0.3">
      <c r="A36" s="2" t="s">
        <v>29</v>
      </c>
      <c r="B36" t="s">
        <v>30</v>
      </c>
      <c r="C36" t="s">
        <v>211</v>
      </c>
      <c r="D36" t="s">
        <v>194</v>
      </c>
      <c r="E36" s="13">
        <f>CONVERT(50/1000,"m","ft")</f>
        <v>0.16404199475065617</v>
      </c>
    </row>
    <row r="37" spans="1:5" x14ac:dyDescent="0.3">
      <c r="A37" s="2" t="s">
        <v>29</v>
      </c>
      <c r="B37" t="s">
        <v>30</v>
      </c>
      <c r="C37" t="s">
        <v>212</v>
      </c>
      <c r="D37" t="s">
        <v>162</v>
      </c>
      <c r="E37" s="13">
        <f>CONVERT(0.2,"m","ft")</f>
        <v>0.65616797900262469</v>
      </c>
    </row>
    <row r="38" spans="1:5" x14ac:dyDescent="0.3">
      <c r="A38" s="2" t="s">
        <v>29</v>
      </c>
      <c r="B38" t="s">
        <v>30</v>
      </c>
      <c r="C38" t="s">
        <v>213</v>
      </c>
      <c r="D38" t="s">
        <v>174</v>
      </c>
      <c r="E38" s="13">
        <f>CONVERT(0.015,"m","ft")</f>
        <v>4.9212598425196853E-2</v>
      </c>
    </row>
    <row r="39" spans="1:5" x14ac:dyDescent="0.3">
      <c r="A39" s="2" t="s">
        <v>29</v>
      </c>
      <c r="B39" t="s">
        <v>30</v>
      </c>
      <c r="C39" t="s">
        <v>215</v>
      </c>
      <c r="D39" t="s">
        <v>218</v>
      </c>
      <c r="E39" s="13">
        <f>CONVERT(25/1000,"m","ft")</f>
        <v>8.2020997375328086E-2</v>
      </c>
    </row>
    <row r="40" spans="1:5" x14ac:dyDescent="0.3">
      <c r="A40" s="2" t="s">
        <v>32</v>
      </c>
      <c r="B40" t="s">
        <v>33</v>
      </c>
      <c r="C40" t="s">
        <v>210</v>
      </c>
      <c r="D40" t="s">
        <v>174</v>
      </c>
      <c r="E40" s="13">
        <f>CONVERT(0.015,"m","ft")</f>
        <v>4.9212598425196853E-2</v>
      </c>
    </row>
    <row r="41" spans="1:5" x14ac:dyDescent="0.3">
      <c r="A41" s="2" t="s">
        <v>32</v>
      </c>
      <c r="B41" t="s">
        <v>33</v>
      </c>
      <c r="C41" t="s">
        <v>211</v>
      </c>
      <c r="D41" t="s">
        <v>195</v>
      </c>
      <c r="E41" s="13">
        <f>CONVERT(50/1000,"m","ft")</f>
        <v>0.16404199475065617</v>
      </c>
    </row>
    <row r="42" spans="1:5" x14ac:dyDescent="0.3">
      <c r="A42" s="2" t="s">
        <v>32</v>
      </c>
      <c r="B42" t="s">
        <v>33</v>
      </c>
      <c r="C42" t="s">
        <v>212</v>
      </c>
      <c r="D42" t="s">
        <v>162</v>
      </c>
      <c r="E42" s="13">
        <f>CONVERT(0.2,"m","ft")</f>
        <v>0.65616797900262469</v>
      </c>
    </row>
    <row r="43" spans="1:5" x14ac:dyDescent="0.3">
      <c r="A43" s="2" t="s">
        <v>32</v>
      </c>
      <c r="B43" t="s">
        <v>33</v>
      </c>
      <c r="C43" t="s">
        <v>213</v>
      </c>
      <c r="D43" t="s">
        <v>174</v>
      </c>
      <c r="E43" s="13">
        <f>CONVERT(0.015,"m","ft")</f>
        <v>4.9212598425196853E-2</v>
      </c>
    </row>
    <row r="44" spans="1:5" x14ac:dyDescent="0.3">
      <c r="A44" s="2" t="s">
        <v>32</v>
      </c>
      <c r="B44" t="s">
        <v>33</v>
      </c>
      <c r="C44" t="s">
        <v>215</v>
      </c>
      <c r="D44" t="s">
        <v>218</v>
      </c>
      <c r="E44" s="13">
        <f>CONVERT(25/1000,"m","ft")</f>
        <v>8.2020997375328086E-2</v>
      </c>
    </row>
    <row r="45" spans="1:5" x14ac:dyDescent="0.3">
      <c r="A45" s="2" t="s">
        <v>35</v>
      </c>
      <c r="B45" t="s">
        <v>36</v>
      </c>
      <c r="C45" t="s">
        <v>210</v>
      </c>
      <c r="D45" t="s">
        <v>174</v>
      </c>
      <c r="E45" s="13">
        <f>CONVERT(0.015,"m","ft")</f>
        <v>4.9212598425196853E-2</v>
      </c>
    </row>
    <row r="46" spans="1:5" x14ac:dyDescent="0.3">
      <c r="A46" s="2" t="s">
        <v>35</v>
      </c>
      <c r="B46" t="s">
        <v>36</v>
      </c>
      <c r="C46" t="s">
        <v>211</v>
      </c>
      <c r="D46" t="s">
        <v>195</v>
      </c>
      <c r="E46" s="13">
        <f>CONVERT(25/1000,"m","ft")</f>
        <v>8.2020997375328086E-2</v>
      </c>
    </row>
    <row r="47" spans="1:5" x14ac:dyDescent="0.3">
      <c r="A47" s="2" t="s">
        <v>35</v>
      </c>
      <c r="B47" t="s">
        <v>36</v>
      </c>
      <c r="C47" t="s">
        <v>212</v>
      </c>
      <c r="D47" t="s">
        <v>175</v>
      </c>
      <c r="E47" s="13">
        <f>CONVERT(0.23,"m","ft")</f>
        <v>0.75459317585301833</v>
      </c>
    </row>
    <row r="48" spans="1:5" x14ac:dyDescent="0.3">
      <c r="A48" s="2" t="s">
        <v>35</v>
      </c>
      <c r="B48" t="s">
        <v>36</v>
      </c>
      <c r="C48" t="s">
        <v>213</v>
      </c>
      <c r="D48" t="s">
        <v>174</v>
      </c>
      <c r="E48" s="13">
        <f>CONVERT(0.015,"m","ft")</f>
        <v>4.9212598425196853E-2</v>
      </c>
    </row>
    <row r="49" spans="1:5" x14ac:dyDescent="0.3">
      <c r="A49" s="2" t="s">
        <v>35</v>
      </c>
      <c r="B49" t="s">
        <v>36</v>
      </c>
      <c r="C49" t="s">
        <v>215</v>
      </c>
      <c r="D49" t="s">
        <v>218</v>
      </c>
      <c r="E49" s="13">
        <f>CONVERT(25/1000,"m","ft")</f>
        <v>8.2020997375328086E-2</v>
      </c>
    </row>
    <row r="50" spans="1:5" x14ac:dyDescent="0.3">
      <c r="A50" s="2" t="s">
        <v>38</v>
      </c>
      <c r="B50" t="s">
        <v>39</v>
      </c>
      <c r="C50" t="s">
        <v>210</v>
      </c>
      <c r="D50" t="s">
        <v>174</v>
      </c>
      <c r="E50" s="13">
        <f>CONVERT(0.015,"m","ft")</f>
        <v>4.9212598425196853E-2</v>
      </c>
    </row>
    <row r="51" spans="1:5" x14ac:dyDescent="0.3">
      <c r="A51" s="2" t="s">
        <v>38</v>
      </c>
      <c r="B51" t="s">
        <v>39</v>
      </c>
      <c r="C51" t="s">
        <v>211</v>
      </c>
      <c r="D51" t="s">
        <v>195</v>
      </c>
      <c r="E51" s="13">
        <f>CONVERT(50/1000,"m","ft")</f>
        <v>0.16404199475065617</v>
      </c>
    </row>
    <row r="52" spans="1:5" x14ac:dyDescent="0.3">
      <c r="A52" s="2" t="s">
        <v>38</v>
      </c>
      <c r="B52" t="s">
        <v>39</v>
      </c>
      <c r="C52" t="s">
        <v>212</v>
      </c>
      <c r="D52" t="s">
        <v>175</v>
      </c>
      <c r="E52" s="13">
        <f>CONVERT(0.23,"m","ft")</f>
        <v>0.75459317585301833</v>
      </c>
    </row>
    <row r="53" spans="1:5" x14ac:dyDescent="0.3">
      <c r="A53" s="2" t="s">
        <v>38</v>
      </c>
      <c r="B53" t="s">
        <v>39</v>
      </c>
      <c r="C53" t="s">
        <v>213</v>
      </c>
      <c r="D53" t="s">
        <v>174</v>
      </c>
      <c r="E53" s="13">
        <f>CONVERT(0.015,"m","ft")</f>
        <v>4.9212598425196853E-2</v>
      </c>
    </row>
    <row r="54" spans="1:5" x14ac:dyDescent="0.3">
      <c r="A54" s="2" t="s">
        <v>38</v>
      </c>
      <c r="B54" t="s">
        <v>39</v>
      </c>
      <c r="C54" t="s">
        <v>215</v>
      </c>
      <c r="D54" t="s">
        <v>218</v>
      </c>
      <c r="E54" s="13">
        <f>CONVERT(25/1000,"m","ft")</f>
        <v>8.2020997375328086E-2</v>
      </c>
    </row>
    <row r="55" spans="1:5" x14ac:dyDescent="0.3">
      <c r="A55" s="2" t="s">
        <v>41</v>
      </c>
      <c r="B55" t="s">
        <v>42</v>
      </c>
      <c r="C55" t="s">
        <v>210</v>
      </c>
      <c r="D55" t="s">
        <v>174</v>
      </c>
      <c r="E55" s="13">
        <f>CONVERT(0.015,"m","ft")</f>
        <v>4.9212598425196853E-2</v>
      </c>
    </row>
    <row r="56" spans="1:5" x14ac:dyDescent="0.3">
      <c r="A56" s="2" t="s">
        <v>41</v>
      </c>
      <c r="B56" t="s">
        <v>42</v>
      </c>
      <c r="C56" t="s">
        <v>211</v>
      </c>
      <c r="D56" t="s">
        <v>209</v>
      </c>
      <c r="E56" s="13">
        <f>CONVERT(0.2,"m","ft")</f>
        <v>0.65616797900262469</v>
      </c>
    </row>
    <row r="57" spans="1:5" x14ac:dyDescent="0.3">
      <c r="A57" s="2" t="s">
        <v>41</v>
      </c>
      <c r="B57" t="s">
        <v>42</v>
      </c>
      <c r="C57" t="s">
        <v>212</v>
      </c>
      <c r="D57" t="s">
        <v>174</v>
      </c>
      <c r="E57" s="13">
        <f>CONVERT(0.015,"m","ft")</f>
        <v>4.9212598425196853E-2</v>
      </c>
    </row>
    <row r="58" spans="1:5" x14ac:dyDescent="0.3">
      <c r="A58" s="2" t="s">
        <v>41</v>
      </c>
      <c r="B58" t="s">
        <v>42</v>
      </c>
      <c r="C58" t="s">
        <v>213</v>
      </c>
      <c r="D58" t="s">
        <v>218</v>
      </c>
      <c r="E58" s="13">
        <f>CONVERT(25/1000,"m","ft")</f>
        <v>8.2020997375328086E-2</v>
      </c>
    </row>
    <row r="59" spans="1:5" x14ac:dyDescent="0.3">
      <c r="A59" s="2" t="s">
        <v>44</v>
      </c>
      <c r="B59" t="s">
        <v>45</v>
      </c>
      <c r="C59" t="s">
        <v>210</v>
      </c>
      <c r="D59" t="s">
        <v>174</v>
      </c>
      <c r="E59" s="13">
        <f>CONVERT(0.015,"m","ft")</f>
        <v>4.9212598425196853E-2</v>
      </c>
    </row>
    <row r="60" spans="1:5" x14ac:dyDescent="0.3">
      <c r="A60" s="2" t="s">
        <v>44</v>
      </c>
      <c r="B60" t="s">
        <v>45</v>
      </c>
      <c r="C60" t="s">
        <v>211</v>
      </c>
      <c r="D60" t="s">
        <v>193</v>
      </c>
      <c r="E60" s="13">
        <f>CONVERT(5/1000,"m","ft")</f>
        <v>1.6404199475065617E-2</v>
      </c>
    </row>
    <row r="61" spans="1:5" x14ac:dyDescent="0.3">
      <c r="A61" s="2" t="s">
        <v>44</v>
      </c>
      <c r="B61" t="s">
        <v>45</v>
      </c>
      <c r="C61" t="s">
        <v>212</v>
      </c>
      <c r="D61" t="s">
        <v>159</v>
      </c>
      <c r="E61" s="13">
        <f>CONVERT(0.23,"m","ft")</f>
        <v>0.75459317585301833</v>
      </c>
    </row>
    <row r="62" spans="1:5" x14ac:dyDescent="0.3">
      <c r="A62" s="2" t="s">
        <v>44</v>
      </c>
      <c r="B62" t="s">
        <v>45</v>
      </c>
      <c r="C62" t="s">
        <v>213</v>
      </c>
      <c r="D62" t="s">
        <v>174</v>
      </c>
      <c r="E62" s="13">
        <f>CONVERT(0.015,"m","ft")</f>
        <v>4.9212598425196853E-2</v>
      </c>
    </row>
    <row r="63" spans="1:5" x14ac:dyDescent="0.3">
      <c r="A63" s="2" t="s">
        <v>44</v>
      </c>
      <c r="B63" t="s">
        <v>45</v>
      </c>
      <c r="C63" t="s">
        <v>215</v>
      </c>
      <c r="D63" t="s">
        <v>218</v>
      </c>
      <c r="E63" s="13">
        <f>CONVERT(25/1000,"m","ft")</f>
        <v>8.2020997375328086E-2</v>
      </c>
    </row>
    <row r="64" spans="1:5" x14ac:dyDescent="0.3">
      <c r="A64" s="2" t="s">
        <v>47</v>
      </c>
      <c r="B64" t="s">
        <v>48</v>
      </c>
      <c r="C64" t="s">
        <v>210</v>
      </c>
      <c r="D64" t="s">
        <v>174</v>
      </c>
      <c r="E64" s="13">
        <f>CONVERT(0.015,"m","ft")</f>
        <v>4.9212598425196853E-2</v>
      </c>
    </row>
    <row r="65" spans="1:5" x14ac:dyDescent="0.3">
      <c r="A65" s="2" t="s">
        <v>47</v>
      </c>
      <c r="B65" t="s">
        <v>48</v>
      </c>
      <c r="C65" t="s">
        <v>211</v>
      </c>
      <c r="D65" t="s">
        <v>194</v>
      </c>
      <c r="E65" s="13">
        <f>CONVERT(15/1000,"m","ft")</f>
        <v>4.9212598425196853E-2</v>
      </c>
    </row>
    <row r="66" spans="1:5" x14ac:dyDescent="0.3">
      <c r="A66" s="2" t="s">
        <v>47</v>
      </c>
      <c r="B66" t="s">
        <v>48</v>
      </c>
      <c r="C66" t="s">
        <v>212</v>
      </c>
      <c r="D66" t="s">
        <v>159</v>
      </c>
      <c r="E66" s="13">
        <f>CONVERT(0.23,"m","ft")</f>
        <v>0.75459317585301833</v>
      </c>
    </row>
    <row r="67" spans="1:5" x14ac:dyDescent="0.3">
      <c r="A67" s="2" t="s">
        <v>47</v>
      </c>
      <c r="B67" t="s">
        <v>48</v>
      </c>
      <c r="C67" t="s">
        <v>213</v>
      </c>
      <c r="D67" t="s">
        <v>174</v>
      </c>
      <c r="E67" s="13">
        <f>CONVERT(0.015,"m","ft")</f>
        <v>4.9212598425196853E-2</v>
      </c>
    </row>
    <row r="68" spans="1:5" x14ac:dyDescent="0.3">
      <c r="A68" s="2" t="s">
        <v>47</v>
      </c>
      <c r="B68" t="s">
        <v>48</v>
      </c>
      <c r="C68" t="s">
        <v>215</v>
      </c>
      <c r="D68" t="s">
        <v>218</v>
      </c>
      <c r="E68" s="13">
        <f>CONVERT(25/1000,"m","ft")</f>
        <v>8.2020997375328086E-2</v>
      </c>
    </row>
    <row r="69" spans="1:5" x14ac:dyDescent="0.3">
      <c r="A69" s="2" t="s">
        <v>50</v>
      </c>
      <c r="B69" t="s">
        <v>51</v>
      </c>
      <c r="C69" t="s">
        <v>210</v>
      </c>
      <c r="D69" t="s">
        <v>174</v>
      </c>
      <c r="E69" s="13">
        <f>CONVERT(0.015,"m","ft")</f>
        <v>4.9212598425196853E-2</v>
      </c>
    </row>
    <row r="70" spans="1:5" x14ac:dyDescent="0.3">
      <c r="A70" s="2" t="s">
        <v>50</v>
      </c>
      <c r="B70" t="s">
        <v>51</v>
      </c>
      <c r="C70" t="s">
        <v>211</v>
      </c>
      <c r="D70" t="s">
        <v>194</v>
      </c>
      <c r="E70" s="13">
        <f>CONVERT(20/1000,"m","ft")</f>
        <v>6.5616797900262466E-2</v>
      </c>
    </row>
    <row r="71" spans="1:5" x14ac:dyDescent="0.3">
      <c r="A71" s="2" t="s">
        <v>50</v>
      </c>
      <c r="B71" t="s">
        <v>51</v>
      </c>
      <c r="C71" t="s">
        <v>212</v>
      </c>
      <c r="D71" t="s">
        <v>159</v>
      </c>
      <c r="E71" s="13">
        <f>CONVERT(0.23,"m","ft")</f>
        <v>0.75459317585301833</v>
      </c>
    </row>
    <row r="72" spans="1:5" x14ac:dyDescent="0.3">
      <c r="A72" s="2" t="s">
        <v>50</v>
      </c>
      <c r="B72" t="s">
        <v>51</v>
      </c>
      <c r="C72" t="s">
        <v>213</v>
      </c>
      <c r="D72" t="s">
        <v>174</v>
      </c>
      <c r="E72" s="13">
        <f>CONVERT(0.015,"m","ft")</f>
        <v>4.9212598425196853E-2</v>
      </c>
    </row>
    <row r="73" spans="1:5" x14ac:dyDescent="0.3">
      <c r="A73" s="2" t="s">
        <v>50</v>
      </c>
      <c r="B73" t="s">
        <v>51</v>
      </c>
      <c r="C73" t="s">
        <v>215</v>
      </c>
      <c r="D73" t="s">
        <v>218</v>
      </c>
      <c r="E73" s="13">
        <f>CONVERT(25/1000,"m","ft")</f>
        <v>8.2020997375328086E-2</v>
      </c>
    </row>
    <row r="74" spans="1:5" x14ac:dyDescent="0.3">
      <c r="A74" s="2" t="s">
        <v>53</v>
      </c>
      <c r="B74" t="s">
        <v>54</v>
      </c>
      <c r="C74" t="s">
        <v>210</v>
      </c>
      <c r="D74" t="s">
        <v>174</v>
      </c>
      <c r="E74" s="13">
        <f>CONVERT(0.015,"m","ft")</f>
        <v>4.9212598425196853E-2</v>
      </c>
    </row>
    <row r="75" spans="1:5" x14ac:dyDescent="0.3">
      <c r="A75" s="2" t="s">
        <v>53</v>
      </c>
      <c r="B75" t="s">
        <v>54</v>
      </c>
      <c r="C75" t="s">
        <v>211</v>
      </c>
      <c r="D75" t="s">
        <v>193</v>
      </c>
      <c r="E75" s="13">
        <f>CONVERT(25/1000,"m","ft")</f>
        <v>8.2020997375328086E-2</v>
      </c>
    </row>
    <row r="76" spans="1:5" x14ac:dyDescent="0.3">
      <c r="A76" s="2" t="s">
        <v>53</v>
      </c>
      <c r="B76" t="s">
        <v>54</v>
      </c>
      <c r="C76" t="s">
        <v>212</v>
      </c>
      <c r="D76" t="s">
        <v>159</v>
      </c>
      <c r="E76" s="13">
        <f>CONVERT(0.23,"m","ft")</f>
        <v>0.75459317585301833</v>
      </c>
    </row>
    <row r="77" spans="1:5" x14ac:dyDescent="0.3">
      <c r="A77" s="2" t="s">
        <v>53</v>
      </c>
      <c r="B77" t="s">
        <v>54</v>
      </c>
      <c r="C77" t="s">
        <v>213</v>
      </c>
      <c r="D77" t="s">
        <v>174</v>
      </c>
      <c r="E77" s="13">
        <f>CONVERT(0.015,"m","ft")</f>
        <v>4.9212598425196853E-2</v>
      </c>
    </row>
    <row r="78" spans="1:5" x14ac:dyDescent="0.3">
      <c r="A78" s="2" t="s">
        <v>53</v>
      </c>
      <c r="B78" t="s">
        <v>54</v>
      </c>
      <c r="C78" t="s">
        <v>215</v>
      </c>
      <c r="D78" t="s">
        <v>218</v>
      </c>
      <c r="E78" s="13">
        <f>CONVERT(25/1000,"m","ft")</f>
        <v>8.2020997375328086E-2</v>
      </c>
    </row>
    <row r="79" spans="1:5" x14ac:dyDescent="0.3">
      <c r="A79" s="2" t="s">
        <v>56</v>
      </c>
      <c r="B79" t="s">
        <v>57</v>
      </c>
      <c r="C79" t="s">
        <v>210</v>
      </c>
      <c r="D79" t="s">
        <v>174</v>
      </c>
      <c r="E79" s="13">
        <f>CONVERT(0.015,"m","ft")</f>
        <v>4.9212598425196853E-2</v>
      </c>
    </row>
    <row r="80" spans="1:5" x14ac:dyDescent="0.3">
      <c r="A80" s="2" t="s">
        <v>56</v>
      </c>
      <c r="B80" t="s">
        <v>57</v>
      </c>
      <c r="C80" t="s">
        <v>211</v>
      </c>
      <c r="D80" t="s">
        <v>193</v>
      </c>
      <c r="E80" s="13">
        <f>CONVERT(50/1000,"m","ft")</f>
        <v>0.16404199475065617</v>
      </c>
    </row>
    <row r="81" spans="1:5" x14ac:dyDescent="0.3">
      <c r="A81" s="2" t="s">
        <v>56</v>
      </c>
      <c r="B81" t="s">
        <v>57</v>
      </c>
      <c r="C81" t="s">
        <v>212</v>
      </c>
      <c r="D81" t="s">
        <v>159</v>
      </c>
      <c r="E81" s="13">
        <f>CONVERT(0.23,"m","ft")</f>
        <v>0.75459317585301833</v>
      </c>
    </row>
    <row r="82" spans="1:5" x14ac:dyDescent="0.3">
      <c r="A82" s="2" t="s">
        <v>56</v>
      </c>
      <c r="B82" t="s">
        <v>57</v>
      </c>
      <c r="C82" t="s">
        <v>213</v>
      </c>
      <c r="D82" t="s">
        <v>174</v>
      </c>
      <c r="E82" s="13">
        <f>CONVERT(0.015,"m","ft")</f>
        <v>4.9212598425196853E-2</v>
      </c>
    </row>
    <row r="83" spans="1:5" x14ac:dyDescent="0.3">
      <c r="A83" s="2" t="s">
        <v>56</v>
      </c>
      <c r="B83" t="s">
        <v>57</v>
      </c>
      <c r="C83" t="s">
        <v>215</v>
      </c>
      <c r="D83" t="s">
        <v>218</v>
      </c>
      <c r="E83" s="13">
        <f>CONVERT(25/1000,"m","ft")</f>
        <v>8.2020997375328086E-2</v>
      </c>
    </row>
    <row r="84" spans="1:5" x14ac:dyDescent="0.3">
      <c r="A84" s="2" t="s">
        <v>59</v>
      </c>
      <c r="B84" t="s">
        <v>60</v>
      </c>
      <c r="C84" t="s">
        <v>210</v>
      </c>
      <c r="D84" t="s">
        <v>174</v>
      </c>
      <c r="E84" s="13">
        <f>CONVERT(0.015,"m","ft")</f>
        <v>4.9212598425196853E-2</v>
      </c>
    </row>
    <row r="85" spans="1:5" x14ac:dyDescent="0.3">
      <c r="A85" s="2" t="s">
        <v>59</v>
      </c>
      <c r="B85" t="s">
        <v>60</v>
      </c>
      <c r="C85" t="s">
        <v>211</v>
      </c>
      <c r="D85" t="s">
        <v>194</v>
      </c>
      <c r="E85" s="13">
        <f>CONVERT(25/1000,"m","ft")</f>
        <v>8.2020997375328086E-2</v>
      </c>
    </row>
    <row r="86" spans="1:5" x14ac:dyDescent="0.3">
      <c r="A86" s="2" t="s">
        <v>59</v>
      </c>
      <c r="B86" t="s">
        <v>60</v>
      </c>
      <c r="C86" t="s">
        <v>212</v>
      </c>
      <c r="D86" t="s">
        <v>159</v>
      </c>
      <c r="E86" s="13">
        <f>CONVERT(0.23,"m","ft")</f>
        <v>0.75459317585301833</v>
      </c>
    </row>
    <row r="87" spans="1:5" x14ac:dyDescent="0.3">
      <c r="A87" s="2" t="s">
        <v>59</v>
      </c>
      <c r="B87" t="s">
        <v>60</v>
      </c>
      <c r="C87" t="s">
        <v>213</v>
      </c>
      <c r="D87" t="s">
        <v>174</v>
      </c>
      <c r="E87" s="13">
        <f>CONVERT(0.015,"m","ft")</f>
        <v>4.9212598425196853E-2</v>
      </c>
    </row>
    <row r="88" spans="1:5" x14ac:dyDescent="0.3">
      <c r="A88" s="2" t="s">
        <v>59</v>
      </c>
      <c r="B88" t="s">
        <v>60</v>
      </c>
      <c r="C88" t="s">
        <v>215</v>
      </c>
      <c r="D88" t="s">
        <v>218</v>
      </c>
      <c r="E88" s="13">
        <f>CONVERT(25/1000,"m","ft")</f>
        <v>8.2020997375328086E-2</v>
      </c>
    </row>
    <row r="89" spans="1:5" x14ac:dyDescent="0.3">
      <c r="A89" s="2" t="s">
        <v>62</v>
      </c>
      <c r="B89" t="s">
        <v>63</v>
      </c>
      <c r="C89" t="s">
        <v>210</v>
      </c>
      <c r="D89" t="s">
        <v>174</v>
      </c>
      <c r="E89" s="13">
        <f>CONVERT(0.015,"m","ft")</f>
        <v>4.9212598425196853E-2</v>
      </c>
    </row>
    <row r="90" spans="1:5" x14ac:dyDescent="0.3">
      <c r="A90" s="2" t="s">
        <v>62</v>
      </c>
      <c r="B90" t="s">
        <v>63</v>
      </c>
      <c r="C90" t="s">
        <v>211</v>
      </c>
      <c r="D90" t="s">
        <v>194</v>
      </c>
      <c r="E90" s="13">
        <f>CONVERT(50/1000,"m","ft")</f>
        <v>0.16404199475065617</v>
      </c>
    </row>
    <row r="91" spans="1:5" x14ac:dyDescent="0.3">
      <c r="A91" s="2" t="s">
        <v>62</v>
      </c>
      <c r="B91" t="s">
        <v>63</v>
      </c>
      <c r="C91" t="s">
        <v>212</v>
      </c>
      <c r="D91" t="s">
        <v>159</v>
      </c>
      <c r="E91" s="13">
        <f>CONVERT(0.23,"m","ft")</f>
        <v>0.75459317585301833</v>
      </c>
    </row>
    <row r="92" spans="1:5" x14ac:dyDescent="0.3">
      <c r="A92" s="2" t="s">
        <v>62</v>
      </c>
      <c r="B92" t="s">
        <v>63</v>
      </c>
      <c r="C92" t="s">
        <v>213</v>
      </c>
      <c r="D92" t="s">
        <v>174</v>
      </c>
      <c r="E92" s="13">
        <f>CONVERT(0.015,"m","ft")</f>
        <v>4.9212598425196853E-2</v>
      </c>
    </row>
    <row r="93" spans="1:5" x14ac:dyDescent="0.3">
      <c r="A93" s="2" t="s">
        <v>62</v>
      </c>
      <c r="B93" t="s">
        <v>63</v>
      </c>
      <c r="C93" t="s">
        <v>215</v>
      </c>
      <c r="D93" t="s">
        <v>218</v>
      </c>
      <c r="E93" s="13">
        <f>CONVERT(25/1000,"m","ft")</f>
        <v>8.2020997375328086E-2</v>
      </c>
    </row>
    <row r="94" spans="1:5" x14ac:dyDescent="0.3">
      <c r="A94" s="2" t="s">
        <v>65</v>
      </c>
      <c r="B94" t="s">
        <v>66</v>
      </c>
      <c r="C94" t="s">
        <v>210</v>
      </c>
      <c r="D94" t="s">
        <v>174</v>
      </c>
      <c r="E94" s="13">
        <f>CONVERT(0.015,"m","ft")</f>
        <v>4.9212598425196853E-2</v>
      </c>
    </row>
    <row r="95" spans="1:5" x14ac:dyDescent="0.3">
      <c r="A95" s="2" t="s">
        <v>65</v>
      </c>
      <c r="B95" t="s">
        <v>66</v>
      </c>
      <c r="C95" t="s">
        <v>211</v>
      </c>
      <c r="D95" t="s">
        <v>179</v>
      </c>
      <c r="E95" s="13">
        <f>CONVERT(0.2,"m","ft")</f>
        <v>0.65616797900262469</v>
      </c>
    </row>
    <row r="96" spans="1:5" x14ac:dyDescent="0.3">
      <c r="A96" s="2" t="s">
        <v>65</v>
      </c>
      <c r="B96" t="s">
        <v>66</v>
      </c>
      <c r="C96" t="s">
        <v>212</v>
      </c>
      <c r="D96" t="s">
        <v>174</v>
      </c>
      <c r="E96" s="13">
        <f>CONVERT(0.015,"m","ft")</f>
        <v>4.9212598425196853E-2</v>
      </c>
    </row>
    <row r="97" spans="1:5" x14ac:dyDescent="0.3">
      <c r="A97" s="2" t="s">
        <v>65</v>
      </c>
      <c r="B97" t="s">
        <v>66</v>
      </c>
      <c r="C97" t="s">
        <v>213</v>
      </c>
      <c r="D97" t="s">
        <v>218</v>
      </c>
      <c r="E97" s="13">
        <f>CONVERT(25/1000,"m","ft")</f>
        <v>8.2020997375328086E-2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A4B8-1031-407E-BF73-BC2490A82C6C}">
  <dimension ref="A1:S66"/>
  <sheetViews>
    <sheetView topLeftCell="L9" workbookViewId="0">
      <selection activeCell="S22" sqref="S22"/>
    </sheetView>
  </sheetViews>
  <sheetFormatPr defaultRowHeight="14.4" x14ac:dyDescent="0.3"/>
  <cols>
    <col min="1" max="1" width="31.5546875" bestFit="1" customWidth="1"/>
    <col min="2" max="2" width="17.21875" bestFit="1" customWidth="1"/>
    <col min="3" max="3" width="6.21875" bestFit="1" customWidth="1"/>
    <col min="4" max="4" width="9" bestFit="1" customWidth="1"/>
    <col min="5" max="5" width="11.21875" bestFit="1" customWidth="1"/>
    <col min="9" max="9" width="4.77734375" customWidth="1"/>
    <col min="10" max="10" width="4" hidden="1" customWidth="1"/>
    <col min="11" max="11" width="5.21875" customWidth="1"/>
    <col min="12" max="12" width="14.5546875" customWidth="1"/>
    <col min="13" max="13" width="9.44140625" customWidth="1"/>
    <col min="14" max="14" width="11.109375" bestFit="1" customWidth="1"/>
    <col min="15" max="15" width="10.44140625" bestFit="1" customWidth="1"/>
    <col min="16" max="16" width="7" bestFit="1" customWidth="1"/>
    <col min="17" max="17" width="11.5546875" bestFit="1" customWidth="1"/>
    <col min="18" max="18" width="7.33203125" bestFit="1" customWidth="1"/>
    <col min="19" max="19" width="17.5546875" customWidth="1"/>
    <col min="20" max="20" width="6.33203125" bestFit="1" customWidth="1"/>
  </cols>
  <sheetData>
    <row r="1" spans="1:19" x14ac:dyDescent="0.3">
      <c r="A1" t="s">
        <v>1</v>
      </c>
      <c r="B1" t="s">
        <v>2</v>
      </c>
      <c r="C1" t="s">
        <v>214</v>
      </c>
      <c r="D1" t="s">
        <v>116</v>
      </c>
      <c r="E1" t="s">
        <v>205</v>
      </c>
      <c r="L1" s="19" t="s">
        <v>231</v>
      </c>
      <c r="M1" t="s">
        <v>223</v>
      </c>
      <c r="N1" t="s">
        <v>226</v>
      </c>
      <c r="O1" t="s">
        <v>225</v>
      </c>
      <c r="P1" t="s">
        <v>227</v>
      </c>
      <c r="Q1" t="s">
        <v>228</v>
      </c>
      <c r="R1" t="s">
        <v>222</v>
      </c>
      <c r="S1" t="s">
        <v>251</v>
      </c>
    </row>
    <row r="2" spans="1:19" x14ac:dyDescent="0.3">
      <c r="A2" s="9" t="s">
        <v>65</v>
      </c>
      <c r="B2" t="s">
        <v>66</v>
      </c>
      <c r="C2" t="s">
        <v>210</v>
      </c>
      <c r="D2" t="s">
        <v>174</v>
      </c>
      <c r="E2" s="13">
        <f>CONVERT(15/1000,"m","ft")</f>
        <v>4.9212598425196853E-2</v>
      </c>
      <c r="M2" t="s">
        <v>174</v>
      </c>
      <c r="N2" s="13">
        <v>0.41699999999999998</v>
      </c>
      <c r="O2">
        <v>6.6000000000000003E-2</v>
      </c>
      <c r="P2">
        <v>110</v>
      </c>
      <c r="Q2">
        <v>0.2</v>
      </c>
      <c r="R2">
        <v>0.158</v>
      </c>
    </row>
    <row r="3" spans="1:19" x14ac:dyDescent="0.3">
      <c r="A3" s="9" t="s">
        <v>65</v>
      </c>
      <c r="B3" t="s">
        <v>66</v>
      </c>
      <c r="C3" t="s">
        <v>211</v>
      </c>
      <c r="D3" t="s">
        <v>163</v>
      </c>
      <c r="E3" s="13">
        <f>CONVERT(0.075,"m","ft")</f>
        <v>0.24606299212598426</v>
      </c>
      <c r="M3" t="s">
        <v>224</v>
      </c>
      <c r="N3" s="13">
        <v>0.56599999999999995</v>
      </c>
      <c r="O3">
        <v>0.755</v>
      </c>
      <c r="P3">
        <v>120</v>
      </c>
      <c r="Q3">
        <v>0.2</v>
      </c>
      <c r="R3">
        <v>1.333</v>
      </c>
    </row>
    <row r="4" spans="1:19" x14ac:dyDescent="0.3">
      <c r="A4" s="9" t="s">
        <v>65</v>
      </c>
      <c r="B4" t="s">
        <v>66</v>
      </c>
      <c r="C4" t="s">
        <v>212</v>
      </c>
      <c r="D4" t="s">
        <v>179</v>
      </c>
      <c r="E4" s="13">
        <f>CONVERT(0.15,"m","ft")</f>
        <v>0.49212598425196852</v>
      </c>
      <c r="M4" t="s">
        <v>243</v>
      </c>
      <c r="N4" s="13">
        <v>0.91300000000000003</v>
      </c>
      <c r="O4">
        <v>0.49199999999999999</v>
      </c>
      <c r="P4">
        <v>142.84</v>
      </c>
      <c r="Q4">
        <v>0.21</v>
      </c>
      <c r="R4">
        <v>0.53900000000000003</v>
      </c>
    </row>
    <row r="5" spans="1:19" x14ac:dyDescent="0.3">
      <c r="A5" s="9" t="s">
        <v>65</v>
      </c>
      <c r="B5" t="s">
        <v>66</v>
      </c>
      <c r="C5" t="s">
        <v>213</v>
      </c>
      <c r="D5" t="s">
        <v>174</v>
      </c>
      <c r="E5" s="13">
        <f>CONVERT(15/1000,"m","ft")</f>
        <v>4.9212598425196853E-2</v>
      </c>
      <c r="L5">
        <v>2</v>
      </c>
      <c r="M5" t="s">
        <v>241</v>
      </c>
      <c r="N5" s="13">
        <v>1.6E-2</v>
      </c>
      <c r="O5" s="13">
        <f>R5*N5</f>
        <v>-3.0080000000000029E-3</v>
      </c>
      <c r="P5">
        <v>2.1800000000000002</v>
      </c>
      <c r="Q5">
        <v>0.28999999999999998</v>
      </c>
      <c r="R5">
        <f>L5-((2*R2)+R3+R4)</f>
        <v>-0.18800000000000017</v>
      </c>
    </row>
    <row r="6" spans="1:19" x14ac:dyDescent="0.3">
      <c r="A6" s="9" t="s">
        <v>65</v>
      </c>
      <c r="B6" t="s">
        <v>66</v>
      </c>
      <c r="C6" t="s">
        <v>215</v>
      </c>
      <c r="D6" t="s">
        <v>218</v>
      </c>
      <c r="E6" s="13">
        <f>CONVERT(25/1000,"m","ft")</f>
        <v>8.2020997375328086E-2</v>
      </c>
      <c r="L6">
        <v>2.5</v>
      </c>
      <c r="M6" t="s">
        <v>242</v>
      </c>
      <c r="N6" s="13">
        <v>1.6E-2</v>
      </c>
      <c r="O6" s="13">
        <f>N6*R6</f>
        <v>4.9919999999999973E-3</v>
      </c>
      <c r="P6">
        <v>2.1800000000000002</v>
      </c>
      <c r="Q6">
        <v>0.28999999999999998</v>
      </c>
      <c r="R6">
        <f>L6-((2*R2)+R3+R4)</f>
        <v>0.31199999999999983</v>
      </c>
    </row>
    <row r="7" spans="1:19" x14ac:dyDescent="0.3">
      <c r="A7" s="5" t="s">
        <v>69</v>
      </c>
      <c r="B7" t="s">
        <v>70</v>
      </c>
      <c r="C7" t="s">
        <v>210</v>
      </c>
      <c r="D7" t="s">
        <v>174</v>
      </c>
      <c r="E7" s="13">
        <f>CONVERT(15/1000,"m","ft")</f>
        <v>4.9212598425196853E-2</v>
      </c>
      <c r="L7">
        <v>5</v>
      </c>
      <c r="M7" t="s">
        <v>229</v>
      </c>
      <c r="N7" s="13">
        <v>1.6E-2</v>
      </c>
      <c r="O7" s="13">
        <f>N7*R7</f>
        <v>4.4991999999999997E-2</v>
      </c>
      <c r="P7">
        <v>2.1800000000000002</v>
      </c>
      <c r="Q7">
        <v>0.28999999999999998</v>
      </c>
      <c r="R7">
        <f>L7-((2*R2)+R3+R4)</f>
        <v>2.8119999999999998</v>
      </c>
    </row>
    <row r="8" spans="1:19" x14ac:dyDescent="0.3">
      <c r="A8" s="5" t="s">
        <v>69</v>
      </c>
      <c r="B8" t="s">
        <v>70</v>
      </c>
      <c r="C8" t="s">
        <v>211</v>
      </c>
      <c r="D8" t="s">
        <v>163</v>
      </c>
      <c r="E8" s="13">
        <f>CONVERT(0.075,"m","ft")</f>
        <v>0.24606299212598426</v>
      </c>
      <c r="L8">
        <v>7.5</v>
      </c>
      <c r="M8" t="s">
        <v>230</v>
      </c>
      <c r="N8" s="13">
        <v>1.6E-2</v>
      </c>
      <c r="O8" s="13">
        <f>N8*R8</f>
        <v>8.4991999999999998E-2</v>
      </c>
      <c r="P8">
        <v>2.1800000000000002</v>
      </c>
      <c r="Q8">
        <v>0.28999999999999998</v>
      </c>
      <c r="R8">
        <f>L8-((2*R2)+R3+R4)</f>
        <v>5.3119999999999994</v>
      </c>
    </row>
    <row r="9" spans="1:19" x14ac:dyDescent="0.3">
      <c r="A9" s="5" t="s">
        <v>69</v>
      </c>
      <c r="B9" t="s">
        <v>70</v>
      </c>
      <c r="C9" t="s">
        <v>212</v>
      </c>
      <c r="D9" t="s">
        <v>195</v>
      </c>
      <c r="E9" s="13">
        <f>CONVERT(0.025,"m","ft")</f>
        <v>8.2020997375328086E-2</v>
      </c>
      <c r="L9">
        <v>10</v>
      </c>
      <c r="M9" t="s">
        <v>232</v>
      </c>
      <c r="N9" s="13">
        <v>1.6E-2</v>
      </c>
      <c r="O9" s="13">
        <f t="shared" ref="O9:O17" si="0">N9*R9</f>
        <v>0.12499199999999999</v>
      </c>
      <c r="P9">
        <v>2.1800000000000002</v>
      </c>
      <c r="Q9">
        <v>0.28999999999999998</v>
      </c>
      <c r="R9">
        <f>L9-((2*R2)+R3+R4)</f>
        <v>7.8119999999999994</v>
      </c>
    </row>
    <row r="10" spans="1:19" x14ac:dyDescent="0.3">
      <c r="A10" s="5" t="s">
        <v>69</v>
      </c>
      <c r="B10" t="s">
        <v>70</v>
      </c>
      <c r="C10" t="s">
        <v>213</v>
      </c>
      <c r="D10" t="s">
        <v>179</v>
      </c>
      <c r="E10" s="13">
        <f>CONVERT(0.15,"m","ft")</f>
        <v>0.49212598425196852</v>
      </c>
      <c r="L10">
        <v>12.5</v>
      </c>
      <c r="M10" t="s">
        <v>233</v>
      </c>
      <c r="N10" s="13">
        <v>1.6E-2</v>
      </c>
      <c r="O10" s="13">
        <f>N10*R10</f>
        <v>0.164992</v>
      </c>
      <c r="P10">
        <v>2.1800000000000002</v>
      </c>
      <c r="Q10">
        <v>0.28999999999999998</v>
      </c>
      <c r="R10">
        <f>L10-((2*R2)+R3+R4)</f>
        <v>10.311999999999999</v>
      </c>
    </row>
    <row r="11" spans="1:19" x14ac:dyDescent="0.3">
      <c r="A11" s="5" t="s">
        <v>69</v>
      </c>
      <c r="B11" t="s">
        <v>70</v>
      </c>
      <c r="C11" t="s">
        <v>215</v>
      </c>
      <c r="D11" t="s">
        <v>174</v>
      </c>
      <c r="E11" s="13">
        <f>CONVERT(15/1000,"m","ft")</f>
        <v>4.9212598425196853E-2</v>
      </c>
      <c r="L11">
        <v>15</v>
      </c>
      <c r="M11" t="s">
        <v>234</v>
      </c>
      <c r="N11" s="13">
        <v>1.6E-2</v>
      </c>
      <c r="O11" s="13">
        <f>N11*R11</f>
        <v>0.20499200000000001</v>
      </c>
      <c r="P11">
        <v>2.1800000000000002</v>
      </c>
      <c r="Q11">
        <v>0.28999999999999998</v>
      </c>
      <c r="R11">
        <f>L11-((2*R2)+R3+R4)</f>
        <v>12.811999999999999</v>
      </c>
    </row>
    <row r="12" spans="1:19" x14ac:dyDescent="0.3">
      <c r="A12" s="5" t="s">
        <v>69</v>
      </c>
      <c r="B12" t="s">
        <v>70</v>
      </c>
      <c r="C12" t="s">
        <v>219</v>
      </c>
      <c r="D12" t="s">
        <v>218</v>
      </c>
      <c r="E12" s="13">
        <f>CONVERT(25/1000,"m","ft")</f>
        <v>8.2020997375328086E-2</v>
      </c>
      <c r="L12">
        <v>17.5</v>
      </c>
      <c r="M12" t="s">
        <v>235</v>
      </c>
      <c r="N12" s="13">
        <v>1.6E-2</v>
      </c>
      <c r="O12" s="13">
        <f>N12*R12</f>
        <v>0.24499199999999999</v>
      </c>
      <c r="P12">
        <v>2.1800000000000002</v>
      </c>
      <c r="Q12">
        <v>0.28999999999999998</v>
      </c>
      <c r="R12">
        <f>L12-((2*R2)+R3+R4)</f>
        <v>15.311999999999999</v>
      </c>
    </row>
    <row r="13" spans="1:19" x14ac:dyDescent="0.3">
      <c r="A13" s="5" t="s">
        <v>72</v>
      </c>
      <c r="B13" t="s">
        <v>73</v>
      </c>
      <c r="C13" t="s">
        <v>210</v>
      </c>
      <c r="D13" t="s">
        <v>174</v>
      </c>
      <c r="E13" s="13">
        <f>CONVERT(15/1000,"m","ft")</f>
        <v>4.9212598425196853E-2</v>
      </c>
      <c r="L13">
        <v>20</v>
      </c>
      <c r="M13" t="s">
        <v>236</v>
      </c>
      <c r="N13" s="13">
        <v>1.6E-2</v>
      </c>
      <c r="O13" s="13">
        <f t="shared" si="0"/>
        <v>0.28499200000000002</v>
      </c>
      <c r="P13">
        <v>2.1800000000000002</v>
      </c>
      <c r="Q13">
        <v>0.28999999999999998</v>
      </c>
      <c r="R13">
        <f>L13-((2*R2)+R3+R4)</f>
        <v>17.812000000000001</v>
      </c>
    </row>
    <row r="14" spans="1:19" x14ac:dyDescent="0.3">
      <c r="A14" s="5" t="s">
        <v>72</v>
      </c>
      <c r="B14" t="s">
        <v>73</v>
      </c>
      <c r="C14" t="s">
        <v>211</v>
      </c>
      <c r="D14" t="s">
        <v>163</v>
      </c>
      <c r="E14" s="13">
        <f>CONVERT(0.075,"m","ft")</f>
        <v>0.24606299212598426</v>
      </c>
      <c r="L14">
        <v>22.5</v>
      </c>
      <c r="M14" t="s">
        <v>237</v>
      </c>
      <c r="N14" s="13">
        <v>1.6E-2</v>
      </c>
      <c r="O14" s="13">
        <f t="shared" si="0"/>
        <v>0.324992</v>
      </c>
      <c r="P14">
        <v>2.1800000000000002</v>
      </c>
      <c r="Q14">
        <v>0.28999999999999998</v>
      </c>
      <c r="R14">
        <f>L14-((2*R2)+R3+R4)</f>
        <v>20.312000000000001</v>
      </c>
    </row>
    <row r="15" spans="1:19" x14ac:dyDescent="0.3">
      <c r="A15" s="5" t="s">
        <v>72</v>
      </c>
      <c r="B15" t="s">
        <v>73</v>
      </c>
      <c r="C15" t="s">
        <v>212</v>
      </c>
      <c r="D15" t="s">
        <v>195</v>
      </c>
      <c r="E15" s="13">
        <f>CONVERT(0.075,"m","ft")</f>
        <v>0.24606299212598426</v>
      </c>
      <c r="L15">
        <v>25</v>
      </c>
      <c r="M15" t="s">
        <v>238</v>
      </c>
      <c r="N15" s="13">
        <v>1.6E-2</v>
      </c>
      <c r="O15" s="13">
        <f t="shared" si="0"/>
        <v>0.36499200000000004</v>
      </c>
      <c r="P15">
        <v>2.1800000000000002</v>
      </c>
      <c r="Q15">
        <v>0.28999999999999998</v>
      </c>
      <c r="R15">
        <f>L15-((2*R2)+R3+R4)</f>
        <v>22.812000000000001</v>
      </c>
    </row>
    <row r="16" spans="1:19" x14ac:dyDescent="0.3">
      <c r="A16" s="5" t="s">
        <v>72</v>
      </c>
      <c r="B16" t="s">
        <v>73</v>
      </c>
      <c r="C16" t="s">
        <v>213</v>
      </c>
      <c r="D16" t="s">
        <v>179</v>
      </c>
      <c r="E16" s="13">
        <f>CONVERT(0.15,"m","ft")</f>
        <v>0.49212598425196852</v>
      </c>
      <c r="L16">
        <v>27.5</v>
      </c>
      <c r="M16" t="s">
        <v>239</v>
      </c>
      <c r="N16" s="13">
        <v>1.6E-2</v>
      </c>
      <c r="O16" s="13">
        <f>N16*R16</f>
        <v>0.40499200000000002</v>
      </c>
      <c r="P16">
        <v>2.1800000000000002</v>
      </c>
      <c r="Q16">
        <v>0.28999999999999998</v>
      </c>
      <c r="R16">
        <f>L16-((2*R2)+R3+R4)</f>
        <v>25.312000000000001</v>
      </c>
    </row>
    <row r="17" spans="1:18" x14ac:dyDescent="0.3">
      <c r="A17" s="5" t="s">
        <v>72</v>
      </c>
      <c r="B17" t="s">
        <v>73</v>
      </c>
      <c r="C17" t="s">
        <v>215</v>
      </c>
      <c r="D17" t="s">
        <v>174</v>
      </c>
      <c r="E17" s="13">
        <f>CONVERT(15/1000,"m","ft")</f>
        <v>4.9212598425196853E-2</v>
      </c>
      <c r="L17">
        <v>30</v>
      </c>
      <c r="M17" t="s">
        <v>240</v>
      </c>
      <c r="N17" s="13">
        <v>1.6E-2</v>
      </c>
      <c r="O17" s="13">
        <f t="shared" si="0"/>
        <v>0.44499200000000005</v>
      </c>
      <c r="P17">
        <v>2.1800000000000002</v>
      </c>
      <c r="Q17">
        <v>0.28999999999999998</v>
      </c>
      <c r="R17">
        <f>L17-((2*R2)+R3+R4)</f>
        <v>27.812000000000001</v>
      </c>
    </row>
    <row r="18" spans="1:18" x14ac:dyDescent="0.3">
      <c r="A18" s="5" t="s">
        <v>72</v>
      </c>
      <c r="B18" t="s">
        <v>73</v>
      </c>
      <c r="C18" t="s">
        <v>219</v>
      </c>
      <c r="D18" t="s">
        <v>218</v>
      </c>
      <c r="E18" s="13">
        <f>CONVERT(25/1000,"m","ft")</f>
        <v>8.2020997375328086E-2</v>
      </c>
      <c r="M18" t="s">
        <v>250</v>
      </c>
      <c r="N18" s="13">
        <v>26.2</v>
      </c>
      <c r="O18">
        <v>2.1000000000000001E-2</v>
      </c>
      <c r="P18">
        <v>489</v>
      </c>
      <c r="Q18">
        <v>0.12</v>
      </c>
      <c r="R18">
        <f>O18/N18</f>
        <v>8.01526717557252E-4</v>
      </c>
    </row>
    <row r="19" spans="1:18" x14ac:dyDescent="0.3">
      <c r="A19" s="5" t="s">
        <v>75</v>
      </c>
      <c r="B19" t="s">
        <v>76</v>
      </c>
      <c r="C19" t="s">
        <v>210</v>
      </c>
      <c r="D19" t="s">
        <v>174</v>
      </c>
      <c r="E19" s="13">
        <f>CONVERT(15/1000,"m","ft")</f>
        <v>4.9212598425196853E-2</v>
      </c>
      <c r="L19">
        <v>2.5</v>
      </c>
      <c r="M19" t="s">
        <v>242</v>
      </c>
      <c r="N19" s="13">
        <v>1.6E-2</v>
      </c>
      <c r="O19" s="13">
        <f>N19*R19</f>
        <v>3.9987175572519087E-2</v>
      </c>
      <c r="P19">
        <v>2.1800000000000002</v>
      </c>
      <c r="Q19">
        <v>0.28999999999999998</v>
      </c>
      <c r="R19">
        <f>L19-R18</f>
        <v>2.4991984732824428</v>
      </c>
    </row>
    <row r="20" spans="1:18" x14ac:dyDescent="0.3">
      <c r="A20" s="5" t="s">
        <v>75</v>
      </c>
      <c r="B20" t="s">
        <v>76</v>
      </c>
      <c r="C20" t="s">
        <v>211</v>
      </c>
      <c r="D20" t="s">
        <v>163</v>
      </c>
      <c r="E20" s="13">
        <f>CONVERT(0.075,"m","ft")</f>
        <v>0.24606299212598426</v>
      </c>
      <c r="L20">
        <v>5</v>
      </c>
      <c r="M20" t="s">
        <v>229</v>
      </c>
      <c r="N20" s="13">
        <v>1.6E-2</v>
      </c>
      <c r="O20" s="13">
        <f t="shared" ref="O20:O30" si="1">N20*R20</f>
        <v>7.9987175572519081E-2</v>
      </c>
      <c r="P20">
        <v>2.1800000000000002</v>
      </c>
      <c r="Q20">
        <v>0.28999999999999998</v>
      </c>
      <c r="R20">
        <f>L20-R18</f>
        <v>4.9991984732824424</v>
      </c>
    </row>
    <row r="21" spans="1:18" x14ac:dyDescent="0.3">
      <c r="A21" s="5" t="s">
        <v>75</v>
      </c>
      <c r="B21" t="s">
        <v>76</v>
      </c>
      <c r="C21" t="s">
        <v>212</v>
      </c>
      <c r="D21" t="s">
        <v>195</v>
      </c>
      <c r="E21" s="13">
        <f>CONVERT(0.1,"m","ft")</f>
        <v>0.32808398950131235</v>
      </c>
      <c r="L21">
        <v>7.5</v>
      </c>
      <c r="M21" t="s">
        <v>230</v>
      </c>
      <c r="N21" s="13">
        <v>1.6E-2</v>
      </c>
      <c r="O21" s="13">
        <f t="shared" si="1"/>
        <v>0.11998717557251908</v>
      </c>
      <c r="P21">
        <v>2.1800000000000002</v>
      </c>
      <c r="Q21">
        <v>0.28999999999999998</v>
      </c>
      <c r="R21">
        <f>L21-R18</f>
        <v>7.4991984732824424</v>
      </c>
    </row>
    <row r="22" spans="1:18" x14ac:dyDescent="0.3">
      <c r="A22" s="5" t="s">
        <v>75</v>
      </c>
      <c r="B22" t="s">
        <v>76</v>
      </c>
      <c r="C22" t="s">
        <v>213</v>
      </c>
      <c r="D22" t="s">
        <v>179</v>
      </c>
      <c r="E22" s="13">
        <f>CONVERT(0.15,"m","ft")</f>
        <v>0.49212598425196852</v>
      </c>
      <c r="L22">
        <v>10</v>
      </c>
      <c r="M22" t="s">
        <v>232</v>
      </c>
      <c r="N22" s="13">
        <v>1.6E-2</v>
      </c>
      <c r="O22" s="13">
        <f>N22*R22</f>
        <v>0.15998717557251907</v>
      </c>
      <c r="P22">
        <v>2.1800000000000002</v>
      </c>
      <c r="Q22">
        <v>0.28999999999999998</v>
      </c>
      <c r="R22">
        <f>L22-R18</f>
        <v>9.9991984732824424</v>
      </c>
    </row>
    <row r="23" spans="1:18" x14ac:dyDescent="0.3">
      <c r="A23" s="5" t="s">
        <v>75</v>
      </c>
      <c r="B23" t="s">
        <v>76</v>
      </c>
      <c r="C23" t="s">
        <v>215</v>
      </c>
      <c r="D23" t="s">
        <v>174</v>
      </c>
      <c r="E23" s="13">
        <f>CONVERT(15/1000,"m","ft")</f>
        <v>4.9212598425196853E-2</v>
      </c>
      <c r="L23">
        <v>12.5</v>
      </c>
      <c r="M23" t="s">
        <v>233</v>
      </c>
      <c r="N23" s="13">
        <v>1.6E-2</v>
      </c>
      <c r="O23" s="13">
        <f t="shared" si="1"/>
        <v>0.19998717557251908</v>
      </c>
      <c r="P23">
        <v>2.1800000000000002</v>
      </c>
      <c r="Q23">
        <v>0.28999999999999998</v>
      </c>
      <c r="R23">
        <f>L23-R18</f>
        <v>12.499198473282442</v>
      </c>
    </row>
    <row r="24" spans="1:18" x14ac:dyDescent="0.3">
      <c r="A24" s="5" t="s">
        <v>75</v>
      </c>
      <c r="B24" t="s">
        <v>76</v>
      </c>
      <c r="C24" t="s">
        <v>219</v>
      </c>
      <c r="D24" t="s">
        <v>218</v>
      </c>
      <c r="E24" s="13">
        <f>CONVERT(25/1000,"m","ft")</f>
        <v>8.2020997375328086E-2</v>
      </c>
      <c r="L24">
        <v>15</v>
      </c>
      <c r="M24" t="s">
        <v>234</v>
      </c>
      <c r="N24" s="13">
        <v>1.6E-2</v>
      </c>
      <c r="O24" s="13">
        <f t="shared" si="1"/>
        <v>0.23998717557251908</v>
      </c>
      <c r="P24">
        <v>2.1800000000000002</v>
      </c>
      <c r="Q24">
        <v>0.28999999999999998</v>
      </c>
      <c r="R24">
        <f>L24-R18</f>
        <v>14.999198473282442</v>
      </c>
    </row>
    <row r="25" spans="1:18" x14ac:dyDescent="0.3">
      <c r="A25" s="5" t="s">
        <v>78</v>
      </c>
      <c r="B25" t="s">
        <v>79</v>
      </c>
      <c r="C25" t="s">
        <v>210</v>
      </c>
      <c r="D25" t="s">
        <v>174</v>
      </c>
      <c r="E25" s="13">
        <f>CONVERT(15/1000,"m","ft")</f>
        <v>4.9212598425196853E-2</v>
      </c>
      <c r="L25">
        <v>17.5</v>
      </c>
      <c r="M25" t="s">
        <v>235</v>
      </c>
      <c r="N25" s="13">
        <v>1.6E-2</v>
      </c>
      <c r="O25" s="13">
        <f>N25*R25</f>
        <v>0.27998717557251912</v>
      </c>
      <c r="P25">
        <v>2.1800000000000002</v>
      </c>
      <c r="Q25">
        <v>0.28999999999999998</v>
      </c>
      <c r="R25">
        <f>L25-R18</f>
        <v>17.499198473282444</v>
      </c>
    </row>
    <row r="26" spans="1:18" x14ac:dyDescent="0.3">
      <c r="A26" s="5" t="s">
        <v>78</v>
      </c>
      <c r="B26" t="s">
        <v>79</v>
      </c>
      <c r="C26" t="s">
        <v>211</v>
      </c>
      <c r="D26" t="s">
        <v>163</v>
      </c>
      <c r="E26" s="13">
        <f>CONVERT(0.075,"m","ft")</f>
        <v>0.24606299212598426</v>
      </c>
      <c r="L26">
        <v>20</v>
      </c>
      <c r="M26" t="s">
        <v>236</v>
      </c>
      <c r="N26" s="13">
        <v>1.6E-2</v>
      </c>
      <c r="O26" s="13">
        <f t="shared" si="1"/>
        <v>0.3199871755725191</v>
      </c>
      <c r="P26">
        <v>2.1800000000000002</v>
      </c>
      <c r="Q26">
        <v>0.28999999999999998</v>
      </c>
      <c r="R26">
        <f>L26-R18</f>
        <v>19.999198473282444</v>
      </c>
    </row>
    <row r="27" spans="1:18" x14ac:dyDescent="0.3">
      <c r="A27" s="5" t="s">
        <v>78</v>
      </c>
      <c r="B27" t="s">
        <v>79</v>
      </c>
      <c r="C27" t="s">
        <v>212</v>
      </c>
      <c r="D27" t="s">
        <v>194</v>
      </c>
      <c r="E27" s="13">
        <f>CONVERT(5/1000,"m","ft")</f>
        <v>1.6404199475065617E-2</v>
      </c>
      <c r="L27">
        <v>22.5</v>
      </c>
      <c r="M27" t="s">
        <v>237</v>
      </c>
      <c r="N27" s="13">
        <v>1.6E-2</v>
      </c>
      <c r="O27" s="13">
        <f t="shared" si="1"/>
        <v>0.35998717557251914</v>
      </c>
      <c r="P27">
        <v>2.1800000000000002</v>
      </c>
      <c r="Q27">
        <v>0.28999999999999998</v>
      </c>
      <c r="R27">
        <f>L27-R18</f>
        <v>22.499198473282444</v>
      </c>
    </row>
    <row r="28" spans="1:18" x14ac:dyDescent="0.3">
      <c r="A28" s="5" t="s">
        <v>78</v>
      </c>
      <c r="B28" t="s">
        <v>79</v>
      </c>
      <c r="C28" t="s">
        <v>213</v>
      </c>
      <c r="D28" t="s">
        <v>179</v>
      </c>
      <c r="E28" s="13">
        <f>CONVERT(0.15,"m","ft")</f>
        <v>0.49212598425196852</v>
      </c>
      <c r="L28">
        <v>25</v>
      </c>
      <c r="M28" t="s">
        <v>238</v>
      </c>
      <c r="N28" s="13">
        <v>1.6E-2</v>
      </c>
      <c r="O28" s="13">
        <f t="shared" si="1"/>
        <v>0.39998717557251912</v>
      </c>
      <c r="P28">
        <v>2.1800000000000002</v>
      </c>
      <c r="Q28">
        <v>0.28999999999999998</v>
      </c>
      <c r="R28">
        <f>L28-R18</f>
        <v>24.999198473282444</v>
      </c>
    </row>
    <row r="29" spans="1:18" x14ac:dyDescent="0.3">
      <c r="A29" s="5" t="s">
        <v>78</v>
      </c>
      <c r="B29" t="s">
        <v>79</v>
      </c>
      <c r="C29" t="s">
        <v>215</v>
      </c>
      <c r="D29" t="s">
        <v>174</v>
      </c>
      <c r="E29" s="13">
        <f>CONVERT(15/1000,"m","ft")</f>
        <v>4.9212598425196853E-2</v>
      </c>
      <c r="L29">
        <v>27.5</v>
      </c>
      <c r="M29" t="s">
        <v>239</v>
      </c>
      <c r="N29" s="13">
        <v>1.6E-2</v>
      </c>
      <c r="O29" s="13">
        <f t="shared" si="1"/>
        <v>0.4399871755725191</v>
      </c>
      <c r="P29">
        <v>2.1800000000000002</v>
      </c>
      <c r="Q29">
        <v>0.28999999999999998</v>
      </c>
      <c r="R29">
        <f>L29-R18</f>
        <v>27.499198473282444</v>
      </c>
    </row>
    <row r="30" spans="1:18" x14ac:dyDescent="0.3">
      <c r="A30" s="5" t="s">
        <v>78</v>
      </c>
      <c r="B30" t="s">
        <v>79</v>
      </c>
      <c r="C30" t="s">
        <v>219</v>
      </c>
      <c r="D30" t="s">
        <v>218</v>
      </c>
      <c r="E30" s="13">
        <f>CONVERT(25/1000,"m","ft")</f>
        <v>8.2020997375328086E-2</v>
      </c>
      <c r="L30">
        <v>30</v>
      </c>
      <c r="M30" t="s">
        <v>240</v>
      </c>
      <c r="N30" s="13">
        <v>1.6E-2</v>
      </c>
      <c r="O30" s="13">
        <f t="shared" si="1"/>
        <v>0.47998717557251913</v>
      </c>
      <c r="P30">
        <v>2.1800000000000002</v>
      </c>
      <c r="Q30">
        <v>0.28999999999999998</v>
      </c>
      <c r="R30">
        <f>L30-R18</f>
        <v>29.999198473282444</v>
      </c>
    </row>
    <row r="31" spans="1:18" x14ac:dyDescent="0.3">
      <c r="A31" s="5" t="s">
        <v>81</v>
      </c>
      <c r="B31" t="s">
        <v>82</v>
      </c>
      <c r="C31" t="s">
        <v>210</v>
      </c>
      <c r="D31" t="s">
        <v>174</v>
      </c>
      <c r="E31" s="13">
        <f>CONVERT(15/1000,"m","ft")</f>
        <v>4.9212598425196853E-2</v>
      </c>
    </row>
    <row r="32" spans="1:18" x14ac:dyDescent="0.3">
      <c r="A32" s="5" t="s">
        <v>81</v>
      </c>
      <c r="B32" t="s">
        <v>82</v>
      </c>
      <c r="C32" t="s">
        <v>211</v>
      </c>
      <c r="D32" t="s">
        <v>163</v>
      </c>
      <c r="E32" s="13">
        <f>CONVERT(0.075,"m","ft")</f>
        <v>0.24606299212598426</v>
      </c>
    </row>
    <row r="33" spans="1:5" x14ac:dyDescent="0.3">
      <c r="A33" s="5" t="s">
        <v>81</v>
      </c>
      <c r="B33" t="s">
        <v>82</v>
      </c>
      <c r="C33" t="s">
        <v>212</v>
      </c>
      <c r="D33" t="s">
        <v>194</v>
      </c>
      <c r="E33" s="13">
        <f>CONVERT(10/1000,"m","ft")</f>
        <v>3.2808398950131233E-2</v>
      </c>
    </row>
    <row r="34" spans="1:5" x14ac:dyDescent="0.3">
      <c r="A34" s="5" t="s">
        <v>81</v>
      </c>
      <c r="B34" t="s">
        <v>82</v>
      </c>
      <c r="C34" t="s">
        <v>213</v>
      </c>
      <c r="D34" t="s">
        <v>179</v>
      </c>
      <c r="E34" s="13">
        <f>CONVERT(0.15,"m","ft")</f>
        <v>0.49212598425196852</v>
      </c>
    </row>
    <row r="35" spans="1:5" x14ac:dyDescent="0.3">
      <c r="A35" s="5" t="s">
        <v>81</v>
      </c>
      <c r="B35" t="s">
        <v>82</v>
      </c>
      <c r="C35" t="s">
        <v>215</v>
      </c>
      <c r="D35" t="s">
        <v>174</v>
      </c>
      <c r="E35" s="13">
        <f>CONVERT(15/1000,"m","ft")</f>
        <v>4.9212598425196853E-2</v>
      </c>
    </row>
    <row r="36" spans="1:5" x14ac:dyDescent="0.3">
      <c r="A36" s="5" t="s">
        <v>81</v>
      </c>
      <c r="B36" t="s">
        <v>79</v>
      </c>
      <c r="C36" t="s">
        <v>219</v>
      </c>
      <c r="D36" t="s">
        <v>218</v>
      </c>
      <c r="E36" s="13">
        <f>CONVERT(25/1000,"m","ft")</f>
        <v>8.2020997375328086E-2</v>
      </c>
    </row>
    <row r="37" spans="1:5" x14ac:dyDescent="0.3">
      <c r="A37" s="5" t="s">
        <v>84</v>
      </c>
      <c r="B37" t="s">
        <v>85</v>
      </c>
      <c r="C37" t="s">
        <v>210</v>
      </c>
      <c r="D37" t="s">
        <v>174</v>
      </c>
      <c r="E37" s="13">
        <f>CONVERT(15/1000,"m","ft")</f>
        <v>4.9212598425196853E-2</v>
      </c>
    </row>
    <row r="38" spans="1:5" x14ac:dyDescent="0.3">
      <c r="A38" s="5" t="s">
        <v>84</v>
      </c>
      <c r="B38" t="s">
        <v>85</v>
      </c>
      <c r="C38" t="s">
        <v>211</v>
      </c>
      <c r="D38" t="s">
        <v>163</v>
      </c>
      <c r="E38" s="13">
        <f>CONVERT(0.075,"m","ft")</f>
        <v>0.24606299212598426</v>
      </c>
    </row>
    <row r="39" spans="1:5" x14ac:dyDescent="0.3">
      <c r="A39" s="5" t="s">
        <v>84</v>
      </c>
      <c r="B39" t="s">
        <v>85</v>
      </c>
      <c r="C39" t="s">
        <v>212</v>
      </c>
      <c r="D39" t="s">
        <v>194</v>
      </c>
      <c r="E39" s="13">
        <f>CONVERT(15/1000,"m","ft")</f>
        <v>4.9212598425196853E-2</v>
      </c>
    </row>
    <row r="40" spans="1:5" x14ac:dyDescent="0.3">
      <c r="A40" s="5" t="s">
        <v>84</v>
      </c>
      <c r="B40" t="s">
        <v>85</v>
      </c>
      <c r="C40" t="s">
        <v>213</v>
      </c>
      <c r="D40" t="s">
        <v>179</v>
      </c>
      <c r="E40" s="13">
        <f>CONVERT(0.15,"m","ft")</f>
        <v>0.49212598425196852</v>
      </c>
    </row>
    <row r="41" spans="1:5" x14ac:dyDescent="0.3">
      <c r="A41" s="5" t="s">
        <v>84</v>
      </c>
      <c r="B41" t="s">
        <v>85</v>
      </c>
      <c r="C41" t="s">
        <v>215</v>
      </c>
      <c r="D41" t="s">
        <v>174</v>
      </c>
      <c r="E41" s="13">
        <f>CONVERT(15/1000,"m","ft")</f>
        <v>4.9212598425196853E-2</v>
      </c>
    </row>
    <row r="42" spans="1:5" x14ac:dyDescent="0.3">
      <c r="A42" s="5" t="s">
        <v>84</v>
      </c>
      <c r="B42" t="s">
        <v>85</v>
      </c>
      <c r="C42" t="s">
        <v>219</v>
      </c>
      <c r="D42" t="s">
        <v>218</v>
      </c>
      <c r="E42" s="13">
        <f>CONVERT(25/1000,"m","ft")</f>
        <v>8.2020997375328086E-2</v>
      </c>
    </row>
    <row r="43" spans="1:5" x14ac:dyDescent="0.3">
      <c r="A43" s="5" t="s">
        <v>87</v>
      </c>
      <c r="B43" t="s">
        <v>88</v>
      </c>
      <c r="C43" t="s">
        <v>210</v>
      </c>
      <c r="D43" t="s">
        <v>174</v>
      </c>
      <c r="E43" s="13">
        <f>CONVERT(15/1000,"m","ft")</f>
        <v>4.9212598425196853E-2</v>
      </c>
    </row>
    <row r="44" spans="1:5" x14ac:dyDescent="0.3">
      <c r="A44" s="5" t="s">
        <v>87</v>
      </c>
      <c r="B44" t="s">
        <v>88</v>
      </c>
      <c r="C44" t="s">
        <v>211</v>
      </c>
      <c r="D44" t="s">
        <v>163</v>
      </c>
      <c r="E44" s="13">
        <f>CONVERT(0.075,"m","ft")</f>
        <v>0.24606299212598426</v>
      </c>
    </row>
    <row r="45" spans="1:5" x14ac:dyDescent="0.3">
      <c r="A45" s="5" t="s">
        <v>87</v>
      </c>
      <c r="B45" t="s">
        <v>88</v>
      </c>
      <c r="C45" t="s">
        <v>212</v>
      </c>
      <c r="D45" t="s">
        <v>194</v>
      </c>
      <c r="E45" s="13">
        <f>CONVERT(20/1000,"m","ft")</f>
        <v>6.5616797900262466E-2</v>
      </c>
    </row>
    <row r="46" spans="1:5" x14ac:dyDescent="0.3">
      <c r="A46" s="5" t="s">
        <v>87</v>
      </c>
      <c r="B46" t="s">
        <v>88</v>
      </c>
      <c r="C46" t="s">
        <v>213</v>
      </c>
      <c r="D46" t="s">
        <v>179</v>
      </c>
      <c r="E46" s="13">
        <f>CONVERT(0.15,"m","ft")</f>
        <v>0.49212598425196852</v>
      </c>
    </row>
    <row r="47" spans="1:5" x14ac:dyDescent="0.3">
      <c r="A47" s="5" t="s">
        <v>87</v>
      </c>
      <c r="B47" t="s">
        <v>88</v>
      </c>
      <c r="C47" t="s">
        <v>215</v>
      </c>
      <c r="D47" t="s">
        <v>174</v>
      </c>
      <c r="E47" s="13">
        <f>CONVERT(15/1000,"m","ft")</f>
        <v>4.9212598425196853E-2</v>
      </c>
    </row>
    <row r="48" spans="1:5" x14ac:dyDescent="0.3">
      <c r="A48" s="5" t="s">
        <v>87</v>
      </c>
      <c r="B48" t="s">
        <v>88</v>
      </c>
      <c r="C48" t="s">
        <v>219</v>
      </c>
      <c r="D48" t="s">
        <v>218</v>
      </c>
      <c r="E48" s="13">
        <f>CONVERT(25/1000,"m","ft")</f>
        <v>8.2020997375328086E-2</v>
      </c>
    </row>
    <row r="49" spans="1:5" x14ac:dyDescent="0.3">
      <c r="A49" s="5" t="s">
        <v>90</v>
      </c>
      <c r="B49" t="s">
        <v>91</v>
      </c>
      <c r="C49" t="s">
        <v>210</v>
      </c>
      <c r="D49" t="s">
        <v>174</v>
      </c>
      <c r="E49" s="13">
        <f>CONVERT(15/1000,"m","ft")</f>
        <v>4.9212598425196853E-2</v>
      </c>
    </row>
    <row r="50" spans="1:5" x14ac:dyDescent="0.3">
      <c r="A50" s="5" t="s">
        <v>90</v>
      </c>
      <c r="B50" t="s">
        <v>91</v>
      </c>
      <c r="C50" t="s">
        <v>211</v>
      </c>
      <c r="D50" t="s">
        <v>163</v>
      </c>
      <c r="E50" s="13">
        <f>CONVERT(0.075,"m","ft")</f>
        <v>0.24606299212598426</v>
      </c>
    </row>
    <row r="51" spans="1:5" x14ac:dyDescent="0.3">
      <c r="A51" s="5" t="s">
        <v>90</v>
      </c>
      <c r="B51" t="s">
        <v>91</v>
      </c>
      <c r="C51" t="s">
        <v>212</v>
      </c>
      <c r="D51" t="s">
        <v>194</v>
      </c>
      <c r="E51" s="13">
        <f>CONVERT(0.025,"m","ft")</f>
        <v>8.2020997375328086E-2</v>
      </c>
    </row>
    <row r="52" spans="1:5" x14ac:dyDescent="0.3">
      <c r="A52" s="5" t="s">
        <v>90</v>
      </c>
      <c r="B52" t="s">
        <v>91</v>
      </c>
      <c r="C52" t="s">
        <v>213</v>
      </c>
      <c r="D52" t="s">
        <v>179</v>
      </c>
      <c r="E52" s="13">
        <f>CONVERT(0.15,"m","ft")</f>
        <v>0.49212598425196852</v>
      </c>
    </row>
    <row r="53" spans="1:5" x14ac:dyDescent="0.3">
      <c r="A53" s="5" t="s">
        <v>90</v>
      </c>
      <c r="B53" t="s">
        <v>91</v>
      </c>
      <c r="C53" t="s">
        <v>215</v>
      </c>
      <c r="D53" t="s">
        <v>174</v>
      </c>
      <c r="E53" s="13">
        <f>CONVERT(15/1000,"m","ft")</f>
        <v>4.9212598425196853E-2</v>
      </c>
    </row>
    <row r="54" spans="1:5" x14ac:dyDescent="0.3">
      <c r="A54" s="5" t="s">
        <v>90</v>
      </c>
      <c r="B54" t="s">
        <v>91</v>
      </c>
      <c r="C54" t="s">
        <v>219</v>
      </c>
      <c r="D54" t="s">
        <v>218</v>
      </c>
      <c r="E54" s="13">
        <f>CONVERT(25/1000,"m","ft")</f>
        <v>8.2020997375328086E-2</v>
      </c>
    </row>
    <row r="55" spans="1:5" x14ac:dyDescent="0.3">
      <c r="A55" s="5" t="s">
        <v>93</v>
      </c>
      <c r="B55" t="s">
        <v>94</v>
      </c>
      <c r="C55" t="s">
        <v>210</v>
      </c>
      <c r="D55" t="s">
        <v>174</v>
      </c>
      <c r="E55" s="13">
        <f>CONVERT(15/1000,"m","ft")</f>
        <v>4.9212598425196853E-2</v>
      </c>
    </row>
    <row r="56" spans="1:5" x14ac:dyDescent="0.3">
      <c r="A56" s="5" t="s">
        <v>93</v>
      </c>
      <c r="B56" t="s">
        <v>94</v>
      </c>
      <c r="C56" t="s">
        <v>211</v>
      </c>
      <c r="D56" t="s">
        <v>163</v>
      </c>
      <c r="E56" s="13">
        <f>CONVERT(0.075,"m","ft")</f>
        <v>0.24606299212598426</v>
      </c>
    </row>
    <row r="57" spans="1:5" x14ac:dyDescent="0.3">
      <c r="A57" s="5" t="s">
        <v>93</v>
      </c>
      <c r="B57" t="s">
        <v>94</v>
      </c>
      <c r="C57" t="s">
        <v>212</v>
      </c>
      <c r="D57" t="s">
        <v>194</v>
      </c>
      <c r="E57" s="13">
        <f>CONVERT(0.05,"m","ft")</f>
        <v>0.16404199475065617</v>
      </c>
    </row>
    <row r="58" spans="1:5" x14ac:dyDescent="0.3">
      <c r="A58" s="5" t="s">
        <v>93</v>
      </c>
      <c r="B58" t="s">
        <v>94</v>
      </c>
      <c r="C58" t="s">
        <v>213</v>
      </c>
      <c r="D58" t="s">
        <v>179</v>
      </c>
      <c r="E58" s="13">
        <f>CONVERT(0.15,"m","ft")</f>
        <v>0.49212598425196852</v>
      </c>
    </row>
    <row r="59" spans="1:5" x14ac:dyDescent="0.3">
      <c r="A59" s="5" t="s">
        <v>93</v>
      </c>
      <c r="B59" t="s">
        <v>94</v>
      </c>
      <c r="C59" t="s">
        <v>215</v>
      </c>
      <c r="D59" t="s">
        <v>174</v>
      </c>
      <c r="E59" s="13">
        <f>CONVERT(15/1000,"m","ft")</f>
        <v>4.9212598425196853E-2</v>
      </c>
    </row>
    <row r="60" spans="1:5" x14ac:dyDescent="0.3">
      <c r="A60" s="5" t="s">
        <v>93</v>
      </c>
      <c r="B60" t="s">
        <v>94</v>
      </c>
      <c r="C60" t="s">
        <v>219</v>
      </c>
      <c r="D60" t="s">
        <v>218</v>
      </c>
      <c r="E60" s="13">
        <f>CONVERT(25/1000,"m","ft")</f>
        <v>8.2020997375328086E-2</v>
      </c>
    </row>
    <row r="61" spans="1:5" x14ac:dyDescent="0.3">
      <c r="A61" s="5" t="s">
        <v>96</v>
      </c>
      <c r="B61" t="s">
        <v>97</v>
      </c>
      <c r="C61" t="s">
        <v>210</v>
      </c>
      <c r="D61" t="s">
        <v>174</v>
      </c>
      <c r="E61" s="13">
        <f>CONVERT(15/1000,"m","ft")</f>
        <v>4.9212598425196853E-2</v>
      </c>
    </row>
    <row r="62" spans="1:5" x14ac:dyDescent="0.3">
      <c r="A62" s="5" t="s">
        <v>96</v>
      </c>
      <c r="B62" t="s">
        <v>97</v>
      </c>
      <c r="C62" t="s">
        <v>211</v>
      </c>
      <c r="D62" t="s">
        <v>163</v>
      </c>
      <c r="E62" s="13">
        <f>CONVERT(0.075,"m","ft")</f>
        <v>0.24606299212598426</v>
      </c>
    </row>
    <row r="63" spans="1:5" x14ac:dyDescent="0.3">
      <c r="A63" s="5" t="s">
        <v>96</v>
      </c>
      <c r="B63" t="s">
        <v>97</v>
      </c>
      <c r="C63" t="s">
        <v>212</v>
      </c>
      <c r="D63" t="s">
        <v>194</v>
      </c>
      <c r="E63" s="13">
        <f>CONVERT(0.075,"m","ft")</f>
        <v>0.24606299212598426</v>
      </c>
    </row>
    <row r="64" spans="1:5" x14ac:dyDescent="0.3">
      <c r="A64" s="5" t="s">
        <v>96</v>
      </c>
      <c r="B64" t="s">
        <v>97</v>
      </c>
      <c r="C64" t="s">
        <v>213</v>
      </c>
      <c r="D64" t="s">
        <v>179</v>
      </c>
      <c r="E64" s="13">
        <f>CONVERT(0.15,"m","ft")</f>
        <v>0.49212598425196852</v>
      </c>
    </row>
    <row r="65" spans="1:5" x14ac:dyDescent="0.3">
      <c r="A65" s="5" t="s">
        <v>96</v>
      </c>
      <c r="B65" t="s">
        <v>97</v>
      </c>
      <c r="C65" t="s">
        <v>215</v>
      </c>
      <c r="D65" t="s">
        <v>174</v>
      </c>
      <c r="E65" s="13">
        <f>CONVERT(15/1000,"m","ft")</f>
        <v>4.9212598425196853E-2</v>
      </c>
    </row>
    <row r="66" spans="1:5" x14ac:dyDescent="0.3">
      <c r="A66" s="5" t="s">
        <v>96</v>
      </c>
      <c r="B66" t="s">
        <v>97</v>
      </c>
      <c r="C66" t="s">
        <v>219</v>
      </c>
      <c r="D66" t="s">
        <v>218</v>
      </c>
      <c r="E66" s="13">
        <f>CONVERT(25/1000,"m","ft")</f>
        <v>8.2020997375328086E-2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812C-00AF-429E-B0F5-847810E84472}">
  <dimension ref="A1:G21"/>
  <sheetViews>
    <sheetView topLeftCell="B1" workbookViewId="0">
      <selection activeCell="I19" sqref="I19"/>
    </sheetView>
  </sheetViews>
  <sheetFormatPr defaultRowHeight="14.4" x14ac:dyDescent="0.3"/>
  <cols>
    <col min="1" max="1" width="7" bestFit="1" customWidth="1"/>
    <col min="2" max="2" width="30.109375" bestFit="1" customWidth="1"/>
    <col min="3" max="3" width="18.33203125" bestFit="1" customWidth="1"/>
    <col min="4" max="7" width="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4</v>
      </c>
      <c r="G1" t="s">
        <v>5</v>
      </c>
    </row>
    <row r="2" spans="1:7" x14ac:dyDescent="0.3">
      <c r="A2" t="s">
        <v>7</v>
      </c>
      <c r="B2" s="1" t="s">
        <v>8</v>
      </c>
      <c r="C2" t="s">
        <v>9</v>
      </c>
      <c r="D2" t="s">
        <v>174</v>
      </c>
      <c r="E2" t="s">
        <v>159</v>
      </c>
      <c r="F2" t="s">
        <v>174</v>
      </c>
    </row>
    <row r="3" spans="1:7" x14ac:dyDescent="0.3">
      <c r="A3" t="s">
        <v>10</v>
      </c>
      <c r="B3" s="2" t="s">
        <v>11</v>
      </c>
      <c r="C3" t="s">
        <v>12</v>
      </c>
      <c r="D3" t="s">
        <v>174</v>
      </c>
      <c r="E3" t="s">
        <v>193</v>
      </c>
      <c r="F3" t="s">
        <v>159</v>
      </c>
      <c r="G3" t="s">
        <v>174</v>
      </c>
    </row>
    <row r="4" spans="1:7" x14ac:dyDescent="0.3">
      <c r="A4" t="s">
        <v>13</v>
      </c>
      <c r="B4" s="2" t="s">
        <v>14</v>
      </c>
      <c r="C4" t="s">
        <v>15</v>
      </c>
      <c r="D4" t="s">
        <v>174</v>
      </c>
      <c r="E4" t="s">
        <v>193</v>
      </c>
      <c r="F4" t="s">
        <v>159</v>
      </c>
      <c r="G4" t="s">
        <v>174</v>
      </c>
    </row>
    <row r="5" spans="1:7" x14ac:dyDescent="0.3">
      <c r="A5" t="s">
        <v>16</v>
      </c>
      <c r="B5" s="2" t="s">
        <v>17</v>
      </c>
      <c r="C5" t="s">
        <v>18</v>
      </c>
      <c r="D5" t="s">
        <v>174</v>
      </c>
      <c r="E5" t="s">
        <v>194</v>
      </c>
      <c r="F5" t="s">
        <v>159</v>
      </c>
      <c r="G5" t="s">
        <v>174</v>
      </c>
    </row>
    <row r="6" spans="1:7" x14ac:dyDescent="0.3">
      <c r="A6" t="s">
        <v>19</v>
      </c>
      <c r="B6" s="2" t="s">
        <v>20</v>
      </c>
      <c r="C6" t="s">
        <v>21</v>
      </c>
      <c r="D6" t="s">
        <v>174</v>
      </c>
      <c r="E6" t="s">
        <v>194</v>
      </c>
      <c r="F6" t="s">
        <v>159</v>
      </c>
      <c r="G6" t="s">
        <v>174</v>
      </c>
    </row>
    <row r="7" spans="1:7" x14ac:dyDescent="0.3">
      <c r="A7" t="s">
        <v>22</v>
      </c>
      <c r="B7" s="2" t="s">
        <v>23</v>
      </c>
      <c r="C7" t="s">
        <v>24</v>
      </c>
      <c r="D7" t="s">
        <v>174</v>
      </c>
      <c r="E7" t="s">
        <v>162</v>
      </c>
      <c r="F7" t="s">
        <v>174</v>
      </c>
    </row>
    <row r="8" spans="1:7" x14ac:dyDescent="0.3">
      <c r="A8" t="s">
        <v>25</v>
      </c>
      <c r="B8" s="2" t="s">
        <v>26</v>
      </c>
      <c r="C8" t="s">
        <v>27</v>
      </c>
      <c r="D8" t="s">
        <v>174</v>
      </c>
      <c r="E8" t="s">
        <v>194</v>
      </c>
      <c r="F8" t="s">
        <v>162</v>
      </c>
      <c r="G8" t="s">
        <v>174</v>
      </c>
    </row>
    <row r="9" spans="1:7" x14ac:dyDescent="0.3">
      <c r="A9" t="s">
        <v>28</v>
      </c>
      <c r="B9" s="2" t="s">
        <v>29</v>
      </c>
      <c r="C9" t="s">
        <v>30</v>
      </c>
      <c r="D9" t="s">
        <v>174</v>
      </c>
      <c r="E9" t="s">
        <v>194</v>
      </c>
      <c r="F9" t="s">
        <v>162</v>
      </c>
      <c r="G9" t="s">
        <v>174</v>
      </c>
    </row>
    <row r="10" spans="1:7" x14ac:dyDescent="0.3">
      <c r="A10" t="s">
        <v>31</v>
      </c>
      <c r="B10" s="2" t="s">
        <v>32</v>
      </c>
      <c r="C10" t="s">
        <v>33</v>
      </c>
      <c r="D10" t="s">
        <v>174</v>
      </c>
      <c r="E10" t="s">
        <v>195</v>
      </c>
      <c r="F10" t="s">
        <v>162</v>
      </c>
      <c r="G10" t="s">
        <v>174</v>
      </c>
    </row>
    <row r="11" spans="1:7" x14ac:dyDescent="0.3">
      <c r="A11" t="s">
        <v>34</v>
      </c>
      <c r="B11" s="2" t="s">
        <v>35</v>
      </c>
      <c r="C11" t="s">
        <v>36</v>
      </c>
      <c r="D11" t="s">
        <v>174</v>
      </c>
      <c r="E11" t="s">
        <v>195</v>
      </c>
      <c r="F11" t="s">
        <v>175</v>
      </c>
      <c r="G11" t="s">
        <v>174</v>
      </c>
    </row>
    <row r="12" spans="1:7" x14ac:dyDescent="0.3">
      <c r="A12" t="s">
        <v>37</v>
      </c>
      <c r="B12" s="2" t="s">
        <v>38</v>
      </c>
      <c r="C12" t="s">
        <v>39</v>
      </c>
      <c r="D12" t="s">
        <v>174</v>
      </c>
      <c r="E12" t="s">
        <v>195</v>
      </c>
      <c r="F12" t="s">
        <v>175</v>
      </c>
      <c r="G12" t="s">
        <v>174</v>
      </c>
    </row>
    <row r="13" spans="1:7" x14ac:dyDescent="0.3">
      <c r="A13" t="s">
        <v>40</v>
      </c>
      <c r="B13" s="2" t="s">
        <v>41</v>
      </c>
      <c r="C13" t="s">
        <v>42</v>
      </c>
      <c r="D13" t="s">
        <v>174</v>
      </c>
      <c r="E13" t="s">
        <v>209</v>
      </c>
      <c r="F13" t="s">
        <v>174</v>
      </c>
    </row>
    <row r="14" spans="1:7" x14ac:dyDescent="0.3">
      <c r="A14" t="s">
        <v>43</v>
      </c>
      <c r="B14" s="2" t="s">
        <v>44</v>
      </c>
      <c r="C14" t="s">
        <v>45</v>
      </c>
      <c r="D14" t="s">
        <v>174</v>
      </c>
      <c r="E14" t="s">
        <v>193</v>
      </c>
      <c r="F14" t="s">
        <v>159</v>
      </c>
      <c r="G14" t="s">
        <v>174</v>
      </c>
    </row>
    <row r="15" spans="1:7" x14ac:dyDescent="0.3">
      <c r="A15" t="s">
        <v>46</v>
      </c>
      <c r="B15" s="2" t="s">
        <v>47</v>
      </c>
      <c r="C15" t="s">
        <v>48</v>
      </c>
      <c r="D15" t="s">
        <v>174</v>
      </c>
      <c r="E15" t="s">
        <v>194</v>
      </c>
      <c r="F15" t="s">
        <v>159</v>
      </c>
      <c r="G15" t="s">
        <v>174</v>
      </c>
    </row>
    <row r="16" spans="1:7" x14ac:dyDescent="0.3">
      <c r="A16" t="s">
        <v>49</v>
      </c>
      <c r="B16" s="2" t="s">
        <v>50</v>
      </c>
      <c r="C16" t="s">
        <v>51</v>
      </c>
      <c r="D16" t="s">
        <v>174</v>
      </c>
      <c r="E16" t="s">
        <v>194</v>
      </c>
      <c r="F16" t="s">
        <v>159</v>
      </c>
      <c r="G16" t="s">
        <v>174</v>
      </c>
    </row>
    <row r="17" spans="1:7" x14ac:dyDescent="0.3">
      <c r="A17" t="s">
        <v>52</v>
      </c>
      <c r="B17" s="2" t="s">
        <v>53</v>
      </c>
      <c r="C17" t="s">
        <v>54</v>
      </c>
      <c r="D17" t="s">
        <v>174</v>
      </c>
      <c r="E17" t="s">
        <v>193</v>
      </c>
      <c r="F17" t="s">
        <v>159</v>
      </c>
      <c r="G17" t="s">
        <v>174</v>
      </c>
    </row>
    <row r="18" spans="1:7" x14ac:dyDescent="0.3">
      <c r="A18" t="s">
        <v>55</v>
      </c>
      <c r="B18" s="2" t="s">
        <v>56</v>
      </c>
      <c r="C18" t="s">
        <v>57</v>
      </c>
      <c r="D18" t="s">
        <v>174</v>
      </c>
      <c r="E18" t="s">
        <v>193</v>
      </c>
      <c r="F18" t="s">
        <v>159</v>
      </c>
      <c r="G18" t="s">
        <v>174</v>
      </c>
    </row>
    <row r="19" spans="1:7" x14ac:dyDescent="0.3">
      <c r="A19" t="s">
        <v>58</v>
      </c>
      <c r="B19" s="2" t="s">
        <v>59</v>
      </c>
      <c r="C19" t="s">
        <v>60</v>
      </c>
      <c r="D19" t="s">
        <v>174</v>
      </c>
      <c r="E19" t="s">
        <v>194</v>
      </c>
      <c r="F19" t="s">
        <v>159</v>
      </c>
      <c r="G19" t="s">
        <v>174</v>
      </c>
    </row>
    <row r="20" spans="1:7" x14ac:dyDescent="0.3">
      <c r="A20" t="s">
        <v>61</v>
      </c>
      <c r="B20" s="2" t="s">
        <v>62</v>
      </c>
      <c r="C20" t="s">
        <v>63</v>
      </c>
      <c r="D20" t="s">
        <v>174</v>
      </c>
      <c r="E20" t="s">
        <v>194</v>
      </c>
      <c r="F20" t="s">
        <v>159</v>
      </c>
      <c r="G20" t="s">
        <v>174</v>
      </c>
    </row>
    <row r="21" spans="1:7" x14ac:dyDescent="0.3">
      <c r="A21" t="s">
        <v>64</v>
      </c>
      <c r="B21" s="2" t="s">
        <v>65</v>
      </c>
      <c r="C21" t="s">
        <v>66</v>
      </c>
      <c r="D21" t="s">
        <v>174</v>
      </c>
      <c r="E21" t="s">
        <v>179</v>
      </c>
      <c r="F21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521E-B657-4894-8C27-BFA1932FF861}">
  <dimension ref="A1:B13"/>
  <sheetViews>
    <sheetView workbookViewId="0">
      <selection activeCell="L20" sqref="L20"/>
    </sheetView>
  </sheetViews>
  <sheetFormatPr defaultRowHeight="14.4" x14ac:dyDescent="0.3"/>
  <sheetData>
    <row r="1" spans="1:2" x14ac:dyDescent="0.3">
      <c r="A1" s="19">
        <v>0</v>
      </c>
      <c r="B1" s="19" t="s">
        <v>222</v>
      </c>
    </row>
    <row r="2" spans="1:2" x14ac:dyDescent="0.3">
      <c r="A2">
        <v>1</v>
      </c>
      <c r="B2">
        <v>2.5</v>
      </c>
    </row>
    <row r="3" spans="1:2" x14ac:dyDescent="0.3">
      <c r="A3">
        <v>2</v>
      </c>
      <c r="B3">
        <f>B2+2.5</f>
        <v>5</v>
      </c>
    </row>
    <row r="4" spans="1:2" x14ac:dyDescent="0.3">
      <c r="A4">
        <v>3</v>
      </c>
      <c r="B4">
        <f t="shared" ref="B4:B13" si="0">B3+2.5</f>
        <v>7.5</v>
      </c>
    </row>
    <row r="5" spans="1:2" x14ac:dyDescent="0.3">
      <c r="A5">
        <v>4</v>
      </c>
      <c r="B5">
        <f t="shared" si="0"/>
        <v>10</v>
      </c>
    </row>
    <row r="6" spans="1:2" x14ac:dyDescent="0.3">
      <c r="A6">
        <v>5</v>
      </c>
      <c r="B6">
        <f t="shared" si="0"/>
        <v>12.5</v>
      </c>
    </row>
    <row r="7" spans="1:2" x14ac:dyDescent="0.3">
      <c r="A7">
        <v>6</v>
      </c>
      <c r="B7">
        <f t="shared" si="0"/>
        <v>15</v>
      </c>
    </row>
    <row r="8" spans="1:2" x14ac:dyDescent="0.3">
      <c r="A8">
        <v>7</v>
      </c>
      <c r="B8">
        <f t="shared" si="0"/>
        <v>17.5</v>
      </c>
    </row>
    <row r="9" spans="1:2" x14ac:dyDescent="0.3">
      <c r="A9">
        <v>8</v>
      </c>
      <c r="B9">
        <f t="shared" si="0"/>
        <v>20</v>
      </c>
    </row>
    <row r="10" spans="1:2" x14ac:dyDescent="0.3">
      <c r="A10">
        <v>9</v>
      </c>
      <c r="B10">
        <f t="shared" si="0"/>
        <v>22.5</v>
      </c>
    </row>
    <row r="11" spans="1:2" x14ac:dyDescent="0.3">
      <c r="A11">
        <v>10</v>
      </c>
      <c r="B11">
        <f t="shared" si="0"/>
        <v>25</v>
      </c>
    </row>
    <row r="12" spans="1:2" x14ac:dyDescent="0.3">
      <c r="A12">
        <v>11</v>
      </c>
      <c r="B12">
        <f t="shared" si="0"/>
        <v>27.5</v>
      </c>
    </row>
    <row r="13" spans="1:2" x14ac:dyDescent="0.3">
      <c r="A13">
        <v>12</v>
      </c>
      <c r="B13">
        <f t="shared" si="0"/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B824-7205-4934-872A-0523CA9143BE}">
  <dimension ref="A1:B13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s="19">
        <v>0</v>
      </c>
      <c r="B1" s="19" t="s">
        <v>222</v>
      </c>
    </row>
    <row r="2" spans="1:2" x14ac:dyDescent="0.3">
      <c r="A2">
        <v>1</v>
      </c>
      <c r="B2">
        <v>2.5</v>
      </c>
    </row>
    <row r="3" spans="1:2" x14ac:dyDescent="0.3">
      <c r="A3">
        <v>2</v>
      </c>
      <c r="B3">
        <f>B2+2.5</f>
        <v>5</v>
      </c>
    </row>
    <row r="4" spans="1:2" x14ac:dyDescent="0.3">
      <c r="A4">
        <v>3</v>
      </c>
      <c r="B4">
        <f t="shared" ref="B4:B13" si="0">B3+2.5</f>
        <v>7.5</v>
      </c>
    </row>
    <row r="5" spans="1:2" x14ac:dyDescent="0.3">
      <c r="A5">
        <v>4</v>
      </c>
      <c r="B5">
        <f t="shared" si="0"/>
        <v>10</v>
      </c>
    </row>
    <row r="6" spans="1:2" x14ac:dyDescent="0.3">
      <c r="A6">
        <v>5</v>
      </c>
      <c r="B6">
        <f t="shared" si="0"/>
        <v>12.5</v>
      </c>
    </row>
    <row r="7" spans="1:2" x14ac:dyDescent="0.3">
      <c r="A7">
        <v>6</v>
      </c>
      <c r="B7">
        <f t="shared" si="0"/>
        <v>15</v>
      </c>
    </row>
    <row r="8" spans="1:2" x14ac:dyDescent="0.3">
      <c r="A8">
        <v>7</v>
      </c>
      <c r="B8">
        <f t="shared" si="0"/>
        <v>17.5</v>
      </c>
    </row>
    <row r="9" spans="1:2" x14ac:dyDescent="0.3">
      <c r="A9">
        <v>8</v>
      </c>
      <c r="B9">
        <f t="shared" si="0"/>
        <v>20</v>
      </c>
    </row>
    <row r="10" spans="1:2" x14ac:dyDescent="0.3">
      <c r="A10">
        <v>9</v>
      </c>
      <c r="B10">
        <f t="shared" si="0"/>
        <v>22.5</v>
      </c>
    </row>
    <row r="11" spans="1:2" x14ac:dyDescent="0.3">
      <c r="A11">
        <v>10</v>
      </c>
      <c r="B11">
        <f t="shared" si="0"/>
        <v>25</v>
      </c>
    </row>
    <row r="12" spans="1:2" x14ac:dyDescent="0.3">
      <c r="A12">
        <v>11</v>
      </c>
      <c r="B12">
        <f t="shared" si="0"/>
        <v>27.5</v>
      </c>
    </row>
    <row r="13" spans="1:2" x14ac:dyDescent="0.3">
      <c r="A13">
        <v>12</v>
      </c>
      <c r="B13">
        <f t="shared" si="0"/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7044-FB7B-4361-B1B2-D721736EA01B}">
  <dimension ref="A1:H12"/>
  <sheetViews>
    <sheetView workbookViewId="0">
      <selection activeCell="K21" sqref="K21"/>
    </sheetView>
  </sheetViews>
  <sheetFormatPr defaultRowHeight="14.4" x14ac:dyDescent="0.3"/>
  <cols>
    <col min="1" max="1" width="7" bestFit="1" customWidth="1"/>
    <col min="2" max="2" width="31.5546875" bestFit="1" customWidth="1"/>
    <col min="3" max="3" width="17.21875" bestFit="1" customWidth="1"/>
    <col min="4" max="4" width="6.33203125" bestFit="1" customWidth="1"/>
    <col min="5" max="5" width="6.5546875" bestFit="1" customWidth="1"/>
    <col min="6" max="8" width="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4</v>
      </c>
      <c r="G1" t="s">
        <v>5</v>
      </c>
      <c r="H1" t="s">
        <v>6</v>
      </c>
    </row>
    <row r="2" spans="1:8" x14ac:dyDescent="0.3">
      <c r="A2" s="3" t="s">
        <v>67</v>
      </c>
      <c r="B2" s="9" t="s">
        <v>65</v>
      </c>
      <c r="C2" t="s">
        <v>66</v>
      </c>
      <c r="D2" t="s">
        <v>174</v>
      </c>
      <c r="E2" t="s">
        <v>163</v>
      </c>
      <c r="F2" t="s">
        <v>179</v>
      </c>
      <c r="G2" s="4" t="s">
        <v>174</v>
      </c>
    </row>
    <row r="3" spans="1:8" x14ac:dyDescent="0.3">
      <c r="A3" s="5" t="s">
        <v>68</v>
      </c>
      <c r="B3" s="5" t="s">
        <v>69</v>
      </c>
      <c r="C3" t="s">
        <v>70</v>
      </c>
      <c r="D3" t="s">
        <v>174</v>
      </c>
      <c r="E3" t="s">
        <v>163</v>
      </c>
      <c r="F3" t="s">
        <v>195</v>
      </c>
      <c r="G3" s="4" t="s">
        <v>179</v>
      </c>
      <c r="H3" t="s">
        <v>174</v>
      </c>
    </row>
    <row r="4" spans="1:8" x14ac:dyDescent="0.3">
      <c r="A4" s="5" t="s">
        <v>71</v>
      </c>
      <c r="B4" s="5" t="s">
        <v>72</v>
      </c>
      <c r="C4" t="s">
        <v>73</v>
      </c>
      <c r="D4" t="s">
        <v>174</v>
      </c>
      <c r="E4" t="s">
        <v>163</v>
      </c>
      <c r="F4" t="s">
        <v>195</v>
      </c>
      <c r="G4" s="4" t="s">
        <v>179</v>
      </c>
      <c r="H4" t="s">
        <v>174</v>
      </c>
    </row>
    <row r="5" spans="1:8" x14ac:dyDescent="0.3">
      <c r="A5" s="5" t="s">
        <v>74</v>
      </c>
      <c r="B5" s="5" t="s">
        <v>75</v>
      </c>
      <c r="C5" t="s">
        <v>76</v>
      </c>
      <c r="D5" t="s">
        <v>174</v>
      </c>
      <c r="E5" t="s">
        <v>163</v>
      </c>
      <c r="F5" t="s">
        <v>195</v>
      </c>
      <c r="G5" s="4" t="s">
        <v>179</v>
      </c>
      <c r="H5" t="s">
        <v>174</v>
      </c>
    </row>
    <row r="6" spans="1:8" x14ac:dyDescent="0.3">
      <c r="A6" s="5" t="s">
        <v>77</v>
      </c>
      <c r="B6" s="5" t="s">
        <v>78</v>
      </c>
      <c r="C6" t="s">
        <v>79</v>
      </c>
      <c r="D6" t="s">
        <v>174</v>
      </c>
      <c r="E6" t="s">
        <v>163</v>
      </c>
      <c r="F6" t="s">
        <v>194</v>
      </c>
      <c r="G6" s="4" t="s">
        <v>179</v>
      </c>
      <c r="H6" t="s">
        <v>174</v>
      </c>
    </row>
    <row r="7" spans="1:8" x14ac:dyDescent="0.3">
      <c r="A7" s="5" t="s">
        <v>80</v>
      </c>
      <c r="B7" s="5" t="s">
        <v>81</v>
      </c>
      <c r="C7" t="s">
        <v>82</v>
      </c>
      <c r="D7" t="s">
        <v>174</v>
      </c>
      <c r="E7" t="s">
        <v>163</v>
      </c>
      <c r="F7" t="s">
        <v>194</v>
      </c>
      <c r="G7" s="4" t="s">
        <v>179</v>
      </c>
      <c r="H7" t="s">
        <v>174</v>
      </c>
    </row>
    <row r="8" spans="1:8" x14ac:dyDescent="0.3">
      <c r="A8" s="5" t="s">
        <v>83</v>
      </c>
      <c r="B8" s="5" t="s">
        <v>84</v>
      </c>
      <c r="C8" t="s">
        <v>85</v>
      </c>
      <c r="D8" t="s">
        <v>174</v>
      </c>
      <c r="E8" t="s">
        <v>163</v>
      </c>
      <c r="F8" t="s">
        <v>194</v>
      </c>
      <c r="G8" s="4" t="s">
        <v>179</v>
      </c>
      <c r="H8" t="s">
        <v>174</v>
      </c>
    </row>
    <row r="9" spans="1:8" x14ac:dyDescent="0.3">
      <c r="A9" s="5" t="s">
        <v>86</v>
      </c>
      <c r="B9" s="5" t="s">
        <v>87</v>
      </c>
      <c r="C9" t="s">
        <v>88</v>
      </c>
      <c r="D9" t="s">
        <v>174</v>
      </c>
      <c r="E9" t="s">
        <v>163</v>
      </c>
      <c r="F9" t="s">
        <v>194</v>
      </c>
      <c r="G9" s="4" t="s">
        <v>179</v>
      </c>
      <c r="H9" t="s">
        <v>174</v>
      </c>
    </row>
    <row r="10" spans="1:8" x14ac:dyDescent="0.3">
      <c r="A10" s="5" t="s">
        <v>89</v>
      </c>
      <c r="B10" s="5" t="s">
        <v>90</v>
      </c>
      <c r="C10" t="s">
        <v>91</v>
      </c>
      <c r="D10" t="s">
        <v>174</v>
      </c>
      <c r="E10" t="s">
        <v>163</v>
      </c>
      <c r="F10" t="s">
        <v>194</v>
      </c>
      <c r="G10" s="4" t="s">
        <v>179</v>
      </c>
      <c r="H10" t="s">
        <v>174</v>
      </c>
    </row>
    <row r="11" spans="1:8" x14ac:dyDescent="0.3">
      <c r="A11" s="5" t="s">
        <v>92</v>
      </c>
      <c r="B11" s="5" t="s">
        <v>93</v>
      </c>
      <c r="C11" t="s">
        <v>94</v>
      </c>
      <c r="D11" t="s">
        <v>174</v>
      </c>
      <c r="E11" t="s">
        <v>163</v>
      </c>
      <c r="F11" t="s">
        <v>194</v>
      </c>
      <c r="G11" s="4" t="s">
        <v>179</v>
      </c>
      <c r="H11" t="s">
        <v>174</v>
      </c>
    </row>
    <row r="12" spans="1:8" x14ac:dyDescent="0.3">
      <c r="A12" s="5" t="s">
        <v>95</v>
      </c>
      <c r="B12" s="5" t="s">
        <v>96</v>
      </c>
      <c r="C12" t="s">
        <v>97</v>
      </c>
      <c r="D12" t="s">
        <v>174</v>
      </c>
      <c r="E12" t="s">
        <v>163</v>
      </c>
      <c r="F12" t="s">
        <v>194</v>
      </c>
      <c r="G12" s="4" t="s">
        <v>179</v>
      </c>
      <c r="H12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F737-4453-4387-A151-A3EAC2C97D5B}">
  <dimension ref="A1:T18"/>
  <sheetViews>
    <sheetView topLeftCell="D1" workbookViewId="0">
      <selection activeCell="Q18" sqref="Q18"/>
    </sheetView>
  </sheetViews>
  <sheetFormatPr defaultRowHeight="14.4" x14ac:dyDescent="0.3"/>
  <cols>
    <col min="1" max="1" width="12.6640625" bestFit="1" customWidth="1"/>
    <col min="2" max="2" width="15.33203125" bestFit="1" customWidth="1"/>
    <col min="3" max="3" width="17.77734375" bestFit="1" customWidth="1"/>
    <col min="4" max="4" width="12.33203125" bestFit="1" customWidth="1"/>
    <col min="5" max="5" width="9.5546875" bestFit="1" customWidth="1"/>
    <col min="6" max="6" width="13" bestFit="1" customWidth="1"/>
    <col min="7" max="7" width="16.109375" bestFit="1" customWidth="1"/>
    <col min="8" max="8" width="7.44140625" bestFit="1" customWidth="1"/>
    <col min="9" max="9" width="26.5546875" bestFit="1" customWidth="1"/>
    <col min="14" max="14" width="9.109375" bestFit="1" customWidth="1"/>
    <col min="15" max="15" width="12.5546875" customWidth="1"/>
  </cols>
  <sheetData>
    <row r="1" spans="1:20" x14ac:dyDescent="0.3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113</v>
      </c>
      <c r="M1" t="s">
        <v>248</v>
      </c>
      <c r="N1" t="s">
        <v>244</v>
      </c>
      <c r="O1" t="s">
        <v>245</v>
      </c>
      <c r="P1" t="s">
        <v>222</v>
      </c>
      <c r="Q1" t="s">
        <v>246</v>
      </c>
      <c r="R1" t="s">
        <v>247</v>
      </c>
      <c r="S1" t="s">
        <v>249</v>
      </c>
      <c r="T1" t="s">
        <v>102</v>
      </c>
    </row>
    <row r="2" spans="1:20" x14ac:dyDescent="0.3">
      <c r="F2">
        <f>Table76[[#This Row],[U-value (COG)]]/5.67</f>
        <v>0</v>
      </c>
      <c r="G2">
        <f>Table76[[#This Row],[GLASS-CONDUCT]]/0.87</f>
        <v>0</v>
      </c>
      <c r="H2" t="str">
        <f>IF(Table76[[#This Row],[Glass Type]]="Double Glazed","DG","SG")</f>
        <v>SG</v>
      </c>
      <c r="I2" t="str">
        <f>CONCATENATE("ML_",Table76[[#This Row],[Glass]],"_",ROUND(Table76[[#This Row],[U-Value(IP)]],2),"_",ROUND(Table76[[#This Row],[SHADING-COEF]],2),"_",Table76[[#This Row],[VIS-TRANS]],"_",Table76[[#This Row],[Climate]])</f>
        <v>ML_SG_0_0__</v>
      </c>
      <c r="S2" s="13"/>
    </row>
    <row r="3" spans="1:20" x14ac:dyDescent="0.3">
      <c r="A3" t="s">
        <v>108</v>
      </c>
      <c r="B3">
        <v>3.8</v>
      </c>
      <c r="C3">
        <v>0.3</v>
      </c>
      <c r="D3">
        <v>0.4</v>
      </c>
      <c r="E3" t="s">
        <v>109</v>
      </c>
      <c r="F3" s="7">
        <f>Table76[[#This Row],[U-value (COG)]]/5.67</f>
        <v>0.67019400352733682</v>
      </c>
      <c r="G3" s="7">
        <f>Table76[[#This Row],[GLASS-CONDUCT]]/0.87</f>
        <v>0.34482758620689652</v>
      </c>
      <c r="H3" t="str">
        <f>IF(Table76[[#This Row],[Glass Type]]="Double Glazed","DG","SG")</f>
        <v>SG</v>
      </c>
      <c r="I3" t="str">
        <f>CONCATENATE("ML_",Table76[[#This Row],[Glass]],"_",ROUND(Table76[[#This Row],[U-Value(IP)]],2),"_",ROUND(Table76[[#This Row],[SHADING-COEF]],2),"_",Table76[[#This Row],[VIS-TRANS]],"_",Table76[[#This Row],[Climate]])</f>
        <v>ML_SG_0.67_0.34_0.4_Others</v>
      </c>
      <c r="J3">
        <v>1</v>
      </c>
      <c r="M3">
        <v>0</v>
      </c>
      <c r="R3">
        <v>0.25</v>
      </c>
      <c r="S3" s="21">
        <f>R3/0.87</f>
        <v>0.28735632183908044</v>
      </c>
    </row>
    <row r="4" spans="1:20" x14ac:dyDescent="0.3">
      <c r="A4" t="s">
        <v>108</v>
      </c>
      <c r="B4">
        <v>4.8</v>
      </c>
      <c r="C4">
        <v>0.3</v>
      </c>
      <c r="D4">
        <v>0.4</v>
      </c>
      <c r="E4" t="s">
        <v>109</v>
      </c>
      <c r="F4" s="7">
        <f>Table76[[#This Row],[U-value (COG)]]/5.67</f>
        <v>0.84656084656084651</v>
      </c>
      <c r="G4" s="7">
        <f>Table76[[#This Row],[GLASS-CONDUCT]]/0.87</f>
        <v>0.34482758620689652</v>
      </c>
      <c r="H4" t="str">
        <f>IF(Table76[[#This Row],[Glass Type]]="Double Glazed","DG","SG")</f>
        <v>SG</v>
      </c>
      <c r="I4" t="str">
        <f>CONCATENATE("ML_",Table76[[#This Row],[Glass]],"_",ROUND(Table76[[#This Row],[U-Value(IP)]],2),"_",ROUND(Table76[[#This Row],[SHADING-COEF]],2),"_",Table76[[#This Row],[VIS-TRANS]],"_",Table76[[#This Row],[Climate]])</f>
        <v>ML_SG_0.85_0.34_0.4_Others</v>
      </c>
      <c r="J4">
        <v>2</v>
      </c>
      <c r="M4">
        <v>1</v>
      </c>
      <c r="R4">
        <v>0.3</v>
      </c>
      <c r="S4" s="21">
        <f t="shared" ref="S4:S10" si="0">R4/0.87</f>
        <v>0.34482758620689652</v>
      </c>
    </row>
    <row r="5" spans="1:20" x14ac:dyDescent="0.3">
      <c r="A5" t="s">
        <v>108</v>
      </c>
      <c r="B5">
        <v>4.8</v>
      </c>
      <c r="C5">
        <v>0.4</v>
      </c>
      <c r="D5">
        <v>0.4</v>
      </c>
      <c r="E5" t="s">
        <v>109</v>
      </c>
      <c r="F5" s="7">
        <f>Table76[[#This Row],[U-value (COG)]]/5.67</f>
        <v>0.84656084656084651</v>
      </c>
      <c r="G5" s="7">
        <f>Table76[[#This Row],[GLASS-CONDUCT]]/0.87</f>
        <v>0.45977011494252878</v>
      </c>
      <c r="H5" t="str">
        <f>IF(Table76[[#This Row],[Glass Type]]="Double Glazed","DG","SG")</f>
        <v>SG</v>
      </c>
      <c r="I5" t="str">
        <f>CONCATENATE("ML_",Table76[[#This Row],[Glass]],"_",ROUND(Table76[[#This Row],[U-Value(IP)]],2),"_",ROUND(Table76[[#This Row],[SHADING-COEF]],2),"_",Table76[[#This Row],[VIS-TRANS]],"_",Table76[[#This Row],[Climate]])</f>
        <v>ML_SG_0.85_0.46_0.4_Others</v>
      </c>
      <c r="J5">
        <v>3</v>
      </c>
      <c r="M5">
        <v>2</v>
      </c>
      <c r="R5">
        <v>0.4</v>
      </c>
      <c r="S5" s="21">
        <f t="shared" si="0"/>
        <v>0.45977011494252878</v>
      </c>
    </row>
    <row r="6" spans="1:20" x14ac:dyDescent="0.3">
      <c r="A6" t="s">
        <v>108</v>
      </c>
      <c r="B6">
        <v>4.8</v>
      </c>
      <c r="C6">
        <v>0.5</v>
      </c>
      <c r="D6">
        <v>0.4</v>
      </c>
      <c r="E6" t="s">
        <v>109</v>
      </c>
      <c r="F6" s="7">
        <f>Table76[[#This Row],[U-value (COG)]]/5.67</f>
        <v>0.84656084656084651</v>
      </c>
      <c r="G6" s="7">
        <f>Table76[[#This Row],[GLASS-CONDUCT]]/0.87</f>
        <v>0.57471264367816088</v>
      </c>
      <c r="H6" t="str">
        <f>IF(Table76[[#This Row],[Glass Type]]="Double Glazed","DG","SG")</f>
        <v>SG</v>
      </c>
      <c r="I6" t="str">
        <f>CONCATENATE("ML_",Table76[[#This Row],[Glass]],"_",ROUND(Table76[[#This Row],[U-Value(IP)]],2),"_",ROUND(Table76[[#This Row],[SHADING-COEF]],2),"_",Table76[[#This Row],[VIS-TRANS]],"_",Table76[[#This Row],[Climate]])</f>
        <v>ML_SG_0.85_0.57_0.4_Others</v>
      </c>
      <c r="J6">
        <v>4</v>
      </c>
      <c r="M6">
        <v>3</v>
      </c>
      <c r="R6">
        <v>0.5</v>
      </c>
      <c r="S6" s="21">
        <f t="shared" si="0"/>
        <v>0.57471264367816088</v>
      </c>
    </row>
    <row r="7" spans="1:20" x14ac:dyDescent="0.3">
      <c r="A7" t="s">
        <v>108</v>
      </c>
      <c r="B7">
        <v>4.8</v>
      </c>
      <c r="C7">
        <v>0.6</v>
      </c>
      <c r="D7">
        <v>0.4</v>
      </c>
      <c r="E7" t="s">
        <v>109</v>
      </c>
      <c r="F7" s="7">
        <f>Table76[[#This Row],[U-value (COG)]]/5.67</f>
        <v>0.84656084656084651</v>
      </c>
      <c r="G7" s="7">
        <f>Table76[[#This Row],[GLASS-CONDUCT]]/0.87</f>
        <v>0.68965517241379304</v>
      </c>
      <c r="H7" t="str">
        <f>IF(Table76[[#This Row],[Glass Type]]="Double Glazed","DG","SG")</f>
        <v>SG</v>
      </c>
      <c r="I7" t="str">
        <f>CONCATENATE("ML_",Table76[[#This Row],[Glass]],"_",ROUND(Table76[[#This Row],[U-Value(IP)]],2),"_",ROUND(Table76[[#This Row],[SHADING-COEF]],2),"_",Table76[[#This Row],[VIS-TRANS]],"_",Table76[[#This Row],[Climate]])</f>
        <v>ML_SG_0.85_0.69_0.4_Others</v>
      </c>
      <c r="J7">
        <v>5</v>
      </c>
      <c r="M7">
        <v>4</v>
      </c>
      <c r="R7">
        <v>0.6</v>
      </c>
      <c r="S7" s="21">
        <f t="shared" si="0"/>
        <v>0.68965517241379304</v>
      </c>
    </row>
    <row r="8" spans="1:20" x14ac:dyDescent="0.3">
      <c r="A8" t="s">
        <v>108</v>
      </c>
      <c r="B8">
        <v>4.8</v>
      </c>
      <c r="C8">
        <v>0.7</v>
      </c>
      <c r="D8">
        <v>0.4</v>
      </c>
      <c r="E8" t="s">
        <v>109</v>
      </c>
      <c r="F8" s="7">
        <f>Table76[[#This Row],[U-value (COG)]]/5.67</f>
        <v>0.84656084656084651</v>
      </c>
      <c r="G8" s="7">
        <f>Table76[[#This Row],[GLASS-CONDUCT]]/0.87</f>
        <v>0.80459770114942519</v>
      </c>
      <c r="H8" t="str">
        <f>IF(Table76[[#This Row],[Glass Type]]="Double Glazed","DG","SG")</f>
        <v>SG</v>
      </c>
      <c r="I8" t="str">
        <f>CONCATENATE("ML_",Table76[[#This Row],[Glass]],"_",ROUND(Table76[[#This Row],[U-Value(IP)]],2),"_",ROUND(Table76[[#This Row],[SHADING-COEF]],2),"_",Table76[[#This Row],[VIS-TRANS]],"_",Table76[[#This Row],[Climate]])</f>
        <v>ML_SG_0.85_0.8_0.4_Others</v>
      </c>
      <c r="J8">
        <v>6</v>
      </c>
      <c r="M8">
        <v>5</v>
      </c>
      <c r="R8">
        <v>0.7</v>
      </c>
      <c r="S8" s="21">
        <f t="shared" si="0"/>
        <v>0.80459770114942519</v>
      </c>
    </row>
    <row r="9" spans="1:20" x14ac:dyDescent="0.3">
      <c r="A9" t="s">
        <v>108</v>
      </c>
      <c r="B9">
        <v>5.7</v>
      </c>
      <c r="C9">
        <v>0.3</v>
      </c>
      <c r="D9">
        <v>0.4</v>
      </c>
      <c r="E9" t="s">
        <v>109</v>
      </c>
      <c r="F9" s="7">
        <f>Table76[[#This Row],[U-value (COG)]]/5.67</f>
        <v>1.0052910052910053</v>
      </c>
      <c r="G9" s="7">
        <f>Table76[[#This Row],[GLASS-CONDUCT]]/0.87</f>
        <v>0.34482758620689652</v>
      </c>
      <c r="H9" t="str">
        <f>IF(Table76[[#This Row],[Glass Type]]="Double Glazed","DG","SG")</f>
        <v>SG</v>
      </c>
      <c r="I9" t="str">
        <f>CONCATENATE("ML_",Table76[[#This Row],[Glass]],"_",ROUND(Table76[[#This Row],[U-Value(IP)]],2),"_",ROUND(Table76[[#This Row],[SHADING-COEF]],2),"_",Table76[[#This Row],[VIS-TRANS]],"_",Table76[[#This Row],[Climate]])</f>
        <v>ML_SG_1.01_0.34_0.4_Others</v>
      </c>
      <c r="J9">
        <v>7</v>
      </c>
      <c r="M9">
        <v>6</v>
      </c>
      <c r="R9">
        <v>0.8</v>
      </c>
      <c r="S9" s="21">
        <f t="shared" si="0"/>
        <v>0.91954022988505757</v>
      </c>
    </row>
    <row r="10" spans="1:20" x14ac:dyDescent="0.3">
      <c r="A10" t="s">
        <v>108</v>
      </c>
      <c r="B10">
        <v>5.7</v>
      </c>
      <c r="C10">
        <v>0.4</v>
      </c>
      <c r="D10">
        <v>0.4</v>
      </c>
      <c r="E10" t="s">
        <v>109</v>
      </c>
      <c r="F10" s="7">
        <f>Table76[[#This Row],[U-value (COG)]]/5.67</f>
        <v>1.0052910052910053</v>
      </c>
      <c r="G10" s="7">
        <f>Table76[[#This Row],[GLASS-CONDUCT]]/0.87</f>
        <v>0.45977011494252878</v>
      </c>
      <c r="H10" t="str">
        <f>IF(Table76[[#This Row],[Glass Type]]="Double Glazed","DG","SG")</f>
        <v>SG</v>
      </c>
      <c r="I10" t="str">
        <f>CONCATENATE("ML_",Table76[[#This Row],[Glass]],"_",ROUND(Table76[[#This Row],[U-Value(IP)]],2),"_",ROUND(Table76[[#This Row],[SHADING-COEF]],2),"_",Table76[[#This Row],[VIS-TRANS]],"_",Table76[[#This Row],[Climate]])</f>
        <v>ML_SG_1.01_0.46_0.4_Others</v>
      </c>
      <c r="J10">
        <v>8</v>
      </c>
      <c r="M10">
        <v>7</v>
      </c>
      <c r="R10">
        <v>0.9</v>
      </c>
      <c r="S10" s="21">
        <f t="shared" si="0"/>
        <v>1.0344827586206897</v>
      </c>
    </row>
    <row r="11" spans="1:20" x14ac:dyDescent="0.3">
      <c r="A11" t="s">
        <v>108</v>
      </c>
      <c r="B11">
        <v>5.7</v>
      </c>
      <c r="C11">
        <v>0.5</v>
      </c>
      <c r="D11">
        <v>0.4</v>
      </c>
      <c r="E11" t="s">
        <v>109</v>
      </c>
      <c r="F11" s="7">
        <f>Table76[[#This Row],[U-value (COG)]]/5.67</f>
        <v>1.0052910052910053</v>
      </c>
      <c r="G11" s="7">
        <f>Table76[[#This Row],[GLASS-CONDUCT]]/0.87</f>
        <v>0.57471264367816088</v>
      </c>
      <c r="H11" t="str">
        <f>IF(Table76[[#This Row],[Glass Type]]="Double Glazed","DG","SG")</f>
        <v>SG</v>
      </c>
      <c r="I11" t="str">
        <f>CONCATENATE("ML_",Table76[[#This Row],[Glass]],"_",ROUND(Table76[[#This Row],[U-Value(IP)]],2),"_",ROUND(Table76[[#This Row],[SHADING-COEF]],2),"_",Table76[[#This Row],[VIS-TRANS]],"_",Table76[[#This Row],[Climate]])</f>
        <v>ML_SG_1.01_0.57_0.4_Others</v>
      </c>
      <c r="J11">
        <v>9</v>
      </c>
    </row>
    <row r="12" spans="1:20" x14ac:dyDescent="0.3">
      <c r="A12" t="s">
        <v>108</v>
      </c>
      <c r="B12">
        <v>5.7</v>
      </c>
      <c r="C12">
        <v>0.6</v>
      </c>
      <c r="D12">
        <v>0.4</v>
      </c>
      <c r="E12" t="s">
        <v>109</v>
      </c>
      <c r="F12" s="7">
        <f>Table76[[#This Row],[U-value (COG)]]/5.67</f>
        <v>1.0052910052910053</v>
      </c>
      <c r="G12" s="7">
        <f>Table76[[#This Row],[GLASS-CONDUCT]]/0.87</f>
        <v>0.68965517241379304</v>
      </c>
      <c r="H12" t="str">
        <f>IF(Table76[[#This Row],[Glass Type]]="Double Glazed","DG","SG")</f>
        <v>SG</v>
      </c>
      <c r="I12" t="str">
        <f>CONCATENATE("ML_",Table76[[#This Row],[Glass]],"_",ROUND(Table76[[#This Row],[U-Value(IP)]],2),"_",ROUND(Table76[[#This Row],[SHADING-COEF]],2),"_",Table76[[#This Row],[VIS-TRANS]],"_",Table76[[#This Row],[Climate]])</f>
        <v>ML_SG_1.01_0.69_0.4_Others</v>
      </c>
      <c r="J12">
        <v>10</v>
      </c>
    </row>
    <row r="13" spans="1:20" x14ac:dyDescent="0.3">
      <c r="A13" s="6" t="s">
        <v>108</v>
      </c>
      <c r="B13" s="6">
        <v>5.7</v>
      </c>
      <c r="C13" s="6">
        <v>0.7</v>
      </c>
      <c r="D13">
        <v>0.4</v>
      </c>
      <c r="E13" t="s">
        <v>109</v>
      </c>
      <c r="F13" s="7">
        <f>Table76[[#This Row],[U-value (COG)]]/5.67</f>
        <v>1.0052910052910053</v>
      </c>
      <c r="G13" s="7">
        <f>Table76[[#This Row],[GLASS-CONDUCT]]/0.87</f>
        <v>0.80459770114942519</v>
      </c>
      <c r="H13" t="str">
        <f>IF(Table76[[#This Row],[Glass Type]]="Double Glazed","DG","SG")</f>
        <v>SG</v>
      </c>
      <c r="I13" t="str">
        <f>CONCATENATE("ML_",Table76[[#This Row],[Glass]],"_",ROUND(Table76[[#This Row],[U-Value(IP)]],2),"_",ROUND(Table76[[#This Row],[SHADING-COEF]],2),"_",Table76[[#This Row],[VIS-TRANS]],"_",Table76[[#This Row],[Climate]])</f>
        <v>ML_SG_1.01_0.8_0.4_Others</v>
      </c>
      <c r="J13">
        <v>11</v>
      </c>
    </row>
    <row r="14" spans="1:20" x14ac:dyDescent="0.3">
      <c r="A14" t="s">
        <v>107</v>
      </c>
      <c r="B14">
        <v>2.8</v>
      </c>
      <c r="C14">
        <v>0.2</v>
      </c>
      <c r="D14">
        <v>0.4</v>
      </c>
      <c r="E14" t="s">
        <v>109</v>
      </c>
      <c r="F14" s="7">
        <f>Table76[[#This Row],[U-value (COG)]]/5.67</f>
        <v>0.49382716049382713</v>
      </c>
      <c r="G14" s="7">
        <f>Table76[[#This Row],[GLASS-CONDUCT]]/0.87</f>
        <v>0.22988505747126439</v>
      </c>
      <c r="H14" t="str">
        <f>IF(Table76[[#This Row],[Glass Type]]="Double Glazed","DG","SG")</f>
        <v>DG</v>
      </c>
      <c r="I14" t="str">
        <f>CONCATENATE("ML_",Table76[[#This Row],[Glass]],"_",ROUND(Table76[[#This Row],[U-Value(IP)]],2),"_",ROUND(Table76[[#This Row],[SHADING-COEF]],2),"_",Table76[[#This Row],[VIS-TRANS]],"_",Table76[[#This Row],[Climate]])</f>
        <v>ML_DG_0.49_0.23_0.4_Others</v>
      </c>
      <c r="J14">
        <v>12</v>
      </c>
    </row>
    <row r="15" spans="1:20" x14ac:dyDescent="0.3">
      <c r="A15" t="s">
        <v>107</v>
      </c>
      <c r="B15">
        <v>2.8</v>
      </c>
      <c r="C15">
        <v>0.3</v>
      </c>
      <c r="D15">
        <v>0.4</v>
      </c>
      <c r="E15" t="s">
        <v>109</v>
      </c>
      <c r="F15" s="7">
        <f>Table76[[#This Row],[U-value (COG)]]/5.67</f>
        <v>0.49382716049382713</v>
      </c>
      <c r="G15" s="7">
        <f>Table76[[#This Row],[GLASS-CONDUCT]]/0.87</f>
        <v>0.34482758620689652</v>
      </c>
      <c r="H15" t="str">
        <f>IF(Table76[[#This Row],[Glass Type]]="Double Glazed","DG","SG")</f>
        <v>DG</v>
      </c>
      <c r="I15" t="str">
        <f>CONCATENATE("ML_",Table76[[#This Row],[Glass]],"_",ROUND(Table76[[#This Row],[U-Value(IP)]],2),"_",ROUND(Table76[[#This Row],[SHADING-COEF]],2),"_",Table76[[#This Row],[VIS-TRANS]],"_",Table76[[#This Row],[Climate]])</f>
        <v>ML_DG_0.49_0.34_0.4_Others</v>
      </c>
      <c r="J15">
        <v>13</v>
      </c>
    </row>
    <row r="16" spans="1:20" x14ac:dyDescent="0.3">
      <c r="A16" t="s">
        <v>107</v>
      </c>
      <c r="B16">
        <v>2.8</v>
      </c>
      <c r="C16">
        <v>0.4</v>
      </c>
      <c r="D16">
        <v>0.4</v>
      </c>
      <c r="E16" t="s">
        <v>109</v>
      </c>
      <c r="F16" s="7">
        <f>Table76[[#This Row],[U-value (COG)]]/5.67</f>
        <v>0.49382716049382713</v>
      </c>
      <c r="G16" s="7">
        <f>Table76[[#This Row],[GLASS-CONDUCT]]/0.87</f>
        <v>0.45977011494252878</v>
      </c>
      <c r="H16" t="str">
        <f>IF(Table76[[#This Row],[Glass Type]]="Double Glazed","DG","SG")</f>
        <v>DG</v>
      </c>
      <c r="I16" t="str">
        <f>CONCATENATE("ML_",Table76[[#This Row],[Glass]],"_",ROUND(Table76[[#This Row],[U-Value(IP)]],2),"_",ROUND(Table76[[#This Row],[SHADING-COEF]],2),"_",Table76[[#This Row],[VIS-TRANS]],"_",Table76[[#This Row],[Climate]])</f>
        <v>ML_DG_0.49_0.46_0.4_Others</v>
      </c>
      <c r="J16">
        <v>14</v>
      </c>
    </row>
    <row r="17" spans="1:10" x14ac:dyDescent="0.3">
      <c r="A17" t="s">
        <v>107</v>
      </c>
      <c r="B17">
        <v>2.8</v>
      </c>
      <c r="C17">
        <v>0.5</v>
      </c>
      <c r="D17">
        <v>0.4</v>
      </c>
      <c r="E17" t="s">
        <v>109</v>
      </c>
      <c r="F17" s="7">
        <f>Table76[[#This Row],[U-value (COG)]]/5.67</f>
        <v>0.49382716049382713</v>
      </c>
      <c r="G17" s="7">
        <f>Table76[[#This Row],[GLASS-CONDUCT]]/0.87</f>
        <v>0.57471264367816088</v>
      </c>
      <c r="H17" t="str">
        <f>IF(Table76[[#This Row],[Glass Type]]="Double Glazed","DG","SG")</f>
        <v>DG</v>
      </c>
      <c r="I17" t="str">
        <f>CONCATENATE("ML_",Table76[[#This Row],[Glass]],"_",ROUND(Table76[[#This Row],[U-Value(IP)]],2),"_",ROUND(Table76[[#This Row],[SHADING-COEF]],2),"_",Table76[[#This Row],[VIS-TRANS]],"_",Table76[[#This Row],[Climate]])</f>
        <v>ML_DG_0.49_0.57_0.4_Others</v>
      </c>
      <c r="J17">
        <v>15</v>
      </c>
    </row>
    <row r="18" spans="1:10" x14ac:dyDescent="0.3">
      <c r="A18" t="s">
        <v>107</v>
      </c>
      <c r="B18">
        <v>2.8</v>
      </c>
      <c r="C18">
        <v>0.6</v>
      </c>
      <c r="D18">
        <v>0.4</v>
      </c>
      <c r="E18" t="s">
        <v>109</v>
      </c>
      <c r="F18" s="7">
        <f>Table76[[#This Row],[U-value (COG)]]/5.67</f>
        <v>0.49382716049382713</v>
      </c>
      <c r="G18" s="7">
        <f>Table76[[#This Row],[GLASS-CONDUCT]]/0.87</f>
        <v>0.68965517241379304</v>
      </c>
      <c r="H18" t="str">
        <f>IF(Table76[[#This Row],[Glass Type]]="Double Glazed","DG","SG")</f>
        <v>DG</v>
      </c>
      <c r="I18" t="str">
        <f>CONCATENATE("ML_",Table76[[#This Row],[Glass]],"_",ROUND(Table76[[#This Row],[U-Value(IP)]],2),"_",ROUND(Table76[[#This Row],[SHADING-COEF]],2),"_",Table76[[#This Row],[VIS-TRANS]],"_",Table76[[#This Row],[Climate]])</f>
        <v>ML_DG_0.49_0.69_0.4_Others</v>
      </c>
      <c r="J18">
        <v>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1310-2F52-42AF-9ACE-0A730BE5476C}">
  <dimension ref="A1:B10"/>
  <sheetViews>
    <sheetView workbookViewId="0">
      <selection activeCell="E6" sqref="E6"/>
    </sheetView>
  </sheetViews>
  <sheetFormatPr defaultRowHeight="14.4" x14ac:dyDescent="0.3"/>
  <cols>
    <col min="2" max="2" width="15.88671875" bestFit="1" customWidth="1"/>
  </cols>
  <sheetData>
    <row r="1" spans="1:2" x14ac:dyDescent="0.3">
      <c r="A1" t="s">
        <v>114</v>
      </c>
      <c r="B1" t="s">
        <v>115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 s="8">
        <v>0.4</v>
      </c>
    </row>
    <row r="4" spans="1:2" x14ac:dyDescent="0.3">
      <c r="A4">
        <v>2</v>
      </c>
      <c r="B4" s="8">
        <v>0.5</v>
      </c>
    </row>
    <row r="5" spans="1:2" x14ac:dyDescent="0.3">
      <c r="A5">
        <v>3</v>
      </c>
      <c r="B5" s="8">
        <v>0.6</v>
      </c>
    </row>
    <row r="6" spans="1:2" x14ac:dyDescent="0.3">
      <c r="A6">
        <v>4</v>
      </c>
      <c r="B6" s="8">
        <v>0.7</v>
      </c>
    </row>
    <row r="7" spans="1:2" x14ac:dyDescent="0.3">
      <c r="A7">
        <v>5</v>
      </c>
      <c r="B7" s="8">
        <v>0.8</v>
      </c>
    </row>
    <row r="8" spans="1:2" x14ac:dyDescent="0.3">
      <c r="A8">
        <v>6</v>
      </c>
      <c r="B8" s="8">
        <v>0.9</v>
      </c>
    </row>
    <row r="9" spans="1:2" x14ac:dyDescent="0.3">
      <c r="A9">
        <v>7</v>
      </c>
    </row>
    <row r="10" spans="1:2" x14ac:dyDescent="0.3">
      <c r="A10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B7D0-5F34-448E-AE4E-FCE2B0A30F2B}">
  <dimension ref="A1:B9"/>
  <sheetViews>
    <sheetView workbookViewId="0">
      <selection activeCell="G14" sqref="G14"/>
    </sheetView>
  </sheetViews>
  <sheetFormatPr defaultRowHeight="14.4" x14ac:dyDescent="0.3"/>
  <cols>
    <col min="2" max="2" width="11.109375" bestFit="1" customWidth="1"/>
  </cols>
  <sheetData>
    <row r="1" spans="1:2" x14ac:dyDescent="0.3">
      <c r="A1" t="s">
        <v>110</v>
      </c>
      <c r="B1" t="s">
        <v>112</v>
      </c>
    </row>
    <row r="2" spans="1:2" x14ac:dyDescent="0.3">
      <c r="A2">
        <v>0</v>
      </c>
      <c r="B2">
        <v>1</v>
      </c>
    </row>
    <row r="3" spans="1:2" x14ac:dyDescent="0.3">
      <c r="A3">
        <v>45</v>
      </c>
      <c r="B3">
        <v>2</v>
      </c>
    </row>
    <row r="4" spans="1:2" x14ac:dyDescent="0.3">
      <c r="A4">
        <f>A3+45</f>
        <v>90</v>
      </c>
      <c r="B4">
        <v>3</v>
      </c>
    </row>
    <row r="5" spans="1:2" x14ac:dyDescent="0.3">
      <c r="A5">
        <f t="shared" ref="A5:A9" si="0">A4+45</f>
        <v>135</v>
      </c>
      <c r="B5">
        <v>4</v>
      </c>
    </row>
    <row r="6" spans="1:2" x14ac:dyDescent="0.3">
      <c r="A6">
        <f t="shared" si="0"/>
        <v>180</v>
      </c>
      <c r="B6">
        <v>5</v>
      </c>
    </row>
    <row r="7" spans="1:2" x14ac:dyDescent="0.3">
      <c r="A7">
        <f t="shared" si="0"/>
        <v>225</v>
      </c>
      <c r="B7">
        <v>6</v>
      </c>
    </row>
    <row r="8" spans="1:2" x14ac:dyDescent="0.3">
      <c r="A8">
        <f>A7+45</f>
        <v>270</v>
      </c>
      <c r="B8">
        <v>7</v>
      </c>
    </row>
    <row r="9" spans="1:2" x14ac:dyDescent="0.3">
      <c r="A9">
        <f t="shared" si="0"/>
        <v>315</v>
      </c>
      <c r="B9">
        <v>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173B-2561-49D4-8ABB-CC048207B2F8}">
  <dimension ref="A1:C10"/>
  <sheetViews>
    <sheetView workbookViewId="0">
      <selection activeCell="K33" sqref="K33"/>
    </sheetView>
  </sheetViews>
  <sheetFormatPr defaultRowHeight="14.4" x14ac:dyDescent="0.3"/>
  <cols>
    <col min="1" max="1" width="14.77734375" bestFit="1" customWidth="1"/>
    <col min="2" max="2" width="8.88671875" style="7"/>
    <col min="3" max="3" width="18.88671875" customWidth="1"/>
  </cols>
  <sheetData>
    <row r="1" spans="1:3" x14ac:dyDescent="0.3">
      <c r="A1" t="s">
        <v>111</v>
      </c>
      <c r="B1" s="7" t="s">
        <v>2</v>
      </c>
      <c r="C1" t="s">
        <v>217</v>
      </c>
    </row>
    <row r="2" spans="1:3" x14ac:dyDescent="0.3">
      <c r="A2">
        <v>0.3</v>
      </c>
      <c r="B2" s="16">
        <v>1</v>
      </c>
      <c r="C2">
        <v>0.1</v>
      </c>
    </row>
    <row r="3" spans="1:3" x14ac:dyDescent="0.3">
      <c r="A3">
        <v>0.4</v>
      </c>
      <c r="B3" s="16">
        <v>2</v>
      </c>
      <c r="C3">
        <v>0.15</v>
      </c>
    </row>
    <row r="4" spans="1:3" x14ac:dyDescent="0.3">
      <c r="A4">
        <v>0.5</v>
      </c>
      <c r="B4" s="16">
        <v>3</v>
      </c>
      <c r="C4">
        <v>0.2</v>
      </c>
    </row>
    <row r="5" spans="1:3" x14ac:dyDescent="0.3">
      <c r="A5">
        <v>0.6</v>
      </c>
      <c r="B5" s="16">
        <v>4</v>
      </c>
      <c r="C5">
        <v>0.25</v>
      </c>
    </row>
    <row r="6" spans="1:3" x14ac:dyDescent="0.3">
      <c r="A6">
        <v>0.7</v>
      </c>
      <c r="B6" s="16">
        <v>5</v>
      </c>
      <c r="C6">
        <v>0.3</v>
      </c>
    </row>
    <row r="7" spans="1:3" x14ac:dyDescent="0.3">
      <c r="A7">
        <v>0.8</v>
      </c>
      <c r="B7" s="16">
        <v>6</v>
      </c>
    </row>
    <row r="8" spans="1:3" x14ac:dyDescent="0.3">
      <c r="A8">
        <v>0.9</v>
      </c>
      <c r="B8" s="16">
        <v>7</v>
      </c>
    </row>
    <row r="9" spans="1:3" x14ac:dyDescent="0.3">
      <c r="A9">
        <v>1</v>
      </c>
      <c r="B9" s="16">
        <v>8</v>
      </c>
    </row>
    <row r="10" spans="1:3" x14ac:dyDescent="0.3">
      <c r="B10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DE84-0F78-44BD-B9CE-520960D7CC77}">
  <dimension ref="A1:C12"/>
  <sheetViews>
    <sheetView workbookViewId="0">
      <selection activeCell="I9" sqref="I9"/>
    </sheetView>
  </sheetViews>
  <sheetFormatPr defaultRowHeight="14.4" x14ac:dyDescent="0.3"/>
  <cols>
    <col min="1" max="1" width="12.88671875" bestFit="1" customWidth="1"/>
    <col min="2" max="2" width="12" style="16" bestFit="1" customWidth="1"/>
    <col min="3" max="3" width="20.44140625" customWidth="1"/>
  </cols>
  <sheetData>
    <row r="1" spans="1:3" x14ac:dyDescent="0.3">
      <c r="A1" t="s">
        <v>111</v>
      </c>
      <c r="B1" s="16" t="s">
        <v>2</v>
      </c>
      <c r="C1" t="s">
        <v>217</v>
      </c>
    </row>
    <row r="2" spans="1:3" x14ac:dyDescent="0.3">
      <c r="A2">
        <v>1</v>
      </c>
      <c r="B2" s="16">
        <v>1</v>
      </c>
      <c r="C2">
        <f>10/100</f>
        <v>0.1</v>
      </c>
    </row>
    <row r="3" spans="1:3" x14ac:dyDescent="0.3">
      <c r="A3">
        <v>1.1000000000000001</v>
      </c>
      <c r="B3" s="16">
        <v>2</v>
      </c>
      <c r="C3">
        <v>0.15</v>
      </c>
    </row>
    <row r="4" spans="1:3" x14ac:dyDescent="0.3">
      <c r="A4">
        <v>1.2</v>
      </c>
      <c r="B4" s="16">
        <v>3</v>
      </c>
      <c r="C4">
        <v>0.2</v>
      </c>
    </row>
    <row r="5" spans="1:3" x14ac:dyDescent="0.3">
      <c r="A5">
        <v>1.3</v>
      </c>
      <c r="B5" s="16">
        <v>4</v>
      </c>
      <c r="C5">
        <v>0.25</v>
      </c>
    </row>
    <row r="6" spans="1:3" x14ac:dyDescent="0.3">
      <c r="A6">
        <v>1.4</v>
      </c>
      <c r="B6" s="16">
        <v>5</v>
      </c>
      <c r="C6">
        <v>0.3</v>
      </c>
    </row>
    <row r="7" spans="1:3" x14ac:dyDescent="0.3">
      <c r="A7">
        <v>1.5</v>
      </c>
      <c r="B7" s="16">
        <v>6</v>
      </c>
    </row>
    <row r="8" spans="1:3" x14ac:dyDescent="0.3">
      <c r="A8">
        <v>1.6</v>
      </c>
      <c r="B8" s="16">
        <v>7</v>
      </c>
    </row>
    <row r="9" spans="1:3" x14ac:dyDescent="0.3">
      <c r="A9">
        <v>1.7</v>
      </c>
      <c r="B9" s="16">
        <v>8</v>
      </c>
    </row>
    <row r="10" spans="1:3" x14ac:dyDescent="0.3">
      <c r="A10">
        <v>1.8</v>
      </c>
      <c r="B10" s="16">
        <v>9</v>
      </c>
    </row>
    <row r="11" spans="1:3" x14ac:dyDescent="0.3">
      <c r="A11">
        <v>1.9</v>
      </c>
      <c r="B11" s="16">
        <v>10</v>
      </c>
    </row>
    <row r="12" spans="1:3" x14ac:dyDescent="0.3">
      <c r="A12">
        <v>2</v>
      </c>
      <c r="B12" s="16">
        <v>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24D0-EEFB-4C74-8B42-E4BFF7ACF406}">
  <dimension ref="A1:F46"/>
  <sheetViews>
    <sheetView workbookViewId="0">
      <selection activeCell="C46" sqref="C46"/>
    </sheetView>
  </sheetViews>
  <sheetFormatPr defaultRowHeight="14.4" x14ac:dyDescent="0.3"/>
  <cols>
    <col min="1" max="1" width="41.21875" bestFit="1" customWidth="1"/>
    <col min="2" max="2" width="11.88671875" bestFit="1" customWidth="1"/>
    <col min="3" max="3" width="14.33203125" bestFit="1" customWidth="1"/>
    <col min="4" max="4" width="20.88671875" bestFit="1" customWidth="1"/>
    <col min="5" max="5" width="16.44140625" bestFit="1" customWidth="1"/>
    <col min="6" max="6" width="16.33203125" bestFit="1" customWidth="1"/>
  </cols>
  <sheetData>
    <row r="1" spans="1:6" x14ac:dyDescent="0.3">
      <c r="A1" t="s">
        <v>116</v>
      </c>
      <c r="B1" t="s">
        <v>2</v>
      </c>
      <c r="C1" t="s">
        <v>202</v>
      </c>
      <c r="D1" t="s">
        <v>201</v>
      </c>
      <c r="E1" t="s">
        <v>200</v>
      </c>
      <c r="F1" t="s">
        <v>199</v>
      </c>
    </row>
    <row r="2" spans="1:6" x14ac:dyDescent="0.3">
      <c r="A2" t="s">
        <v>117</v>
      </c>
      <c r="B2" t="s">
        <v>159</v>
      </c>
      <c r="C2">
        <v>0.23</v>
      </c>
      <c r="D2" s="10">
        <v>0.98</v>
      </c>
      <c r="E2" s="10">
        <v>1920</v>
      </c>
      <c r="F2" s="10">
        <v>800</v>
      </c>
    </row>
    <row r="3" spans="1:6" x14ac:dyDescent="0.3">
      <c r="A3" t="s">
        <v>118</v>
      </c>
      <c r="B3" t="s">
        <v>161</v>
      </c>
      <c r="D3" s="11">
        <v>0.245</v>
      </c>
      <c r="E3" s="11">
        <v>1520</v>
      </c>
      <c r="F3" s="11">
        <v>840</v>
      </c>
    </row>
    <row r="4" spans="1:6" x14ac:dyDescent="0.3">
      <c r="A4" t="s">
        <v>119</v>
      </c>
      <c r="B4" t="s">
        <v>162</v>
      </c>
      <c r="C4">
        <v>0.2</v>
      </c>
      <c r="D4" s="10">
        <v>0.184</v>
      </c>
      <c r="E4" s="10">
        <v>642</v>
      </c>
      <c r="F4" s="10">
        <v>1240</v>
      </c>
    </row>
    <row r="5" spans="1:6" x14ac:dyDescent="0.3">
      <c r="A5" t="s">
        <v>120</v>
      </c>
      <c r="B5" t="s">
        <v>163</v>
      </c>
      <c r="C5">
        <v>7.4999999999999997E-2</v>
      </c>
      <c r="D5" s="11">
        <v>0.79800000000000004</v>
      </c>
      <c r="E5" s="11">
        <v>1892</v>
      </c>
      <c r="F5" s="11">
        <v>880</v>
      </c>
    </row>
    <row r="6" spans="1:6" x14ac:dyDescent="0.3">
      <c r="A6" t="s">
        <v>121</v>
      </c>
      <c r="B6" t="s">
        <v>164</v>
      </c>
      <c r="D6" s="10">
        <v>0.188</v>
      </c>
      <c r="E6" s="10">
        <v>704</v>
      </c>
      <c r="F6" s="10">
        <v>1050</v>
      </c>
    </row>
    <row r="7" spans="1:6" x14ac:dyDescent="0.3">
      <c r="A7" t="s">
        <v>122</v>
      </c>
      <c r="B7" t="s">
        <v>165</v>
      </c>
      <c r="D7" s="11">
        <v>8.2000000000000003E-2</v>
      </c>
      <c r="E7" s="11">
        <v>350</v>
      </c>
      <c r="F7" s="11">
        <v>1300</v>
      </c>
    </row>
    <row r="8" spans="1:6" x14ac:dyDescent="0.3">
      <c r="A8" t="s">
        <v>123</v>
      </c>
      <c r="B8" t="s">
        <v>180</v>
      </c>
      <c r="D8" s="10">
        <v>0.71899999999999997</v>
      </c>
      <c r="E8" s="10">
        <v>1648</v>
      </c>
      <c r="F8" s="10">
        <v>920</v>
      </c>
    </row>
    <row r="9" spans="1:6" x14ac:dyDescent="0.3">
      <c r="A9" t="s">
        <v>124</v>
      </c>
      <c r="B9" t="s">
        <v>181</v>
      </c>
      <c r="D9" s="11">
        <v>0.93</v>
      </c>
      <c r="E9" s="11">
        <v>1900</v>
      </c>
      <c r="F9" s="11">
        <v>840</v>
      </c>
    </row>
    <row r="10" spans="1:6" x14ac:dyDescent="0.3">
      <c r="A10" t="s">
        <v>125</v>
      </c>
      <c r="B10" t="s">
        <v>174</v>
      </c>
      <c r="C10">
        <v>1.4999999999999999E-2</v>
      </c>
      <c r="D10" s="10">
        <v>0.72099999999999997</v>
      </c>
      <c r="E10" s="10">
        <v>1762</v>
      </c>
      <c r="F10" s="10">
        <f>1000*0.84</f>
        <v>840</v>
      </c>
    </row>
    <row r="11" spans="1:6" x14ac:dyDescent="0.3">
      <c r="A11" t="s">
        <v>126</v>
      </c>
      <c r="B11" t="s">
        <v>166</v>
      </c>
      <c r="D11" s="11">
        <v>1.3029999999999999</v>
      </c>
      <c r="E11" s="11">
        <v>1900</v>
      </c>
      <c r="F11" s="11">
        <v>1070</v>
      </c>
    </row>
    <row r="12" spans="1:6" x14ac:dyDescent="0.3">
      <c r="A12" t="s">
        <v>127</v>
      </c>
      <c r="B12" t="s">
        <v>167</v>
      </c>
      <c r="D12" s="10">
        <v>1.026</v>
      </c>
      <c r="E12" s="10">
        <v>1700</v>
      </c>
      <c r="F12" s="10">
        <v>1030</v>
      </c>
    </row>
    <row r="13" spans="1:6" x14ac:dyDescent="0.3">
      <c r="A13" t="s">
        <v>128</v>
      </c>
      <c r="B13" t="s">
        <v>168</v>
      </c>
      <c r="D13" s="11">
        <v>1.2010000000000001</v>
      </c>
      <c r="E13" s="11">
        <v>1800</v>
      </c>
      <c r="F13" s="11">
        <v>1070</v>
      </c>
    </row>
    <row r="14" spans="1:6" x14ac:dyDescent="0.3">
      <c r="A14" t="s">
        <v>129</v>
      </c>
      <c r="B14" t="s">
        <v>169</v>
      </c>
      <c r="D14" s="10">
        <v>1.28</v>
      </c>
      <c r="E14" s="10">
        <v>1460</v>
      </c>
      <c r="F14" s="10">
        <v>880</v>
      </c>
    </row>
    <row r="15" spans="1:6" x14ac:dyDescent="0.3">
      <c r="A15" t="s">
        <v>130</v>
      </c>
      <c r="B15" t="s">
        <v>170</v>
      </c>
      <c r="D15" s="11">
        <v>1.74</v>
      </c>
      <c r="E15" s="11">
        <v>2410</v>
      </c>
      <c r="F15" s="11">
        <v>880</v>
      </c>
    </row>
    <row r="16" spans="1:6" x14ac:dyDescent="0.3">
      <c r="A16" t="s">
        <v>131</v>
      </c>
      <c r="B16" t="s">
        <v>171</v>
      </c>
      <c r="D16" s="10">
        <v>1.2</v>
      </c>
      <c r="E16" s="10">
        <v>2000</v>
      </c>
      <c r="F16" s="10">
        <v>850</v>
      </c>
    </row>
    <row r="17" spans="1:6" x14ac:dyDescent="0.3">
      <c r="A17" t="s">
        <v>132</v>
      </c>
      <c r="B17" t="s">
        <v>172</v>
      </c>
      <c r="D17" s="11">
        <v>1.119</v>
      </c>
      <c r="E17" s="11">
        <v>2028</v>
      </c>
      <c r="F17" s="11">
        <v>955.2</v>
      </c>
    </row>
    <row r="18" spans="1:6" x14ac:dyDescent="0.3">
      <c r="A18" t="s">
        <v>133</v>
      </c>
      <c r="B18" t="s">
        <v>173</v>
      </c>
      <c r="D18" s="10">
        <v>0.37569999999999998</v>
      </c>
      <c r="E18" s="10">
        <v>1264</v>
      </c>
      <c r="F18" s="10">
        <v>927.8</v>
      </c>
    </row>
    <row r="19" spans="1:6" x14ac:dyDescent="0.3">
      <c r="A19" t="s">
        <v>134</v>
      </c>
      <c r="B19" t="s">
        <v>175</v>
      </c>
      <c r="C19">
        <v>0.23</v>
      </c>
      <c r="D19" s="11">
        <v>0.85599999999999998</v>
      </c>
      <c r="E19" s="11">
        <v>1650</v>
      </c>
      <c r="F19" s="11">
        <v>930</v>
      </c>
    </row>
    <row r="20" spans="1:6" x14ac:dyDescent="0.3">
      <c r="A20" t="s">
        <v>135</v>
      </c>
      <c r="B20" t="s">
        <v>182</v>
      </c>
      <c r="D20" s="10">
        <v>61.06</v>
      </c>
      <c r="E20" s="10">
        <v>7520</v>
      </c>
      <c r="F20" s="10">
        <v>500</v>
      </c>
    </row>
    <row r="21" spans="1:6" x14ac:dyDescent="0.3">
      <c r="A21" t="s">
        <v>105</v>
      </c>
      <c r="B21" t="s">
        <v>160</v>
      </c>
      <c r="D21" s="11">
        <v>0.81399999999999995</v>
      </c>
      <c r="E21" s="11">
        <v>2350</v>
      </c>
      <c r="F21" s="11">
        <v>880</v>
      </c>
    </row>
    <row r="22" spans="1:6" x14ac:dyDescent="0.3">
      <c r="A22" t="s">
        <v>136</v>
      </c>
      <c r="B22" t="s">
        <v>183</v>
      </c>
      <c r="D22" s="10">
        <v>0.51200000000000001</v>
      </c>
      <c r="E22" s="10">
        <v>1120</v>
      </c>
      <c r="F22" s="10">
        <v>960</v>
      </c>
    </row>
    <row r="23" spans="1:6" x14ac:dyDescent="0.3">
      <c r="A23" t="s">
        <v>137</v>
      </c>
      <c r="B23" t="s">
        <v>176</v>
      </c>
      <c r="D23" s="11">
        <v>1.31</v>
      </c>
      <c r="E23" s="11">
        <v>2240</v>
      </c>
      <c r="F23" s="11">
        <v>840</v>
      </c>
    </row>
    <row r="24" spans="1:6" x14ac:dyDescent="0.3">
      <c r="A24" t="s">
        <v>138</v>
      </c>
      <c r="B24" t="s">
        <v>184</v>
      </c>
      <c r="D24" s="10">
        <v>0.9</v>
      </c>
      <c r="E24" s="10">
        <v>1850</v>
      </c>
      <c r="F24" s="10">
        <v>840</v>
      </c>
    </row>
    <row r="25" spans="1:6" x14ac:dyDescent="0.3">
      <c r="A25" t="s">
        <v>139</v>
      </c>
      <c r="B25" t="s">
        <v>177</v>
      </c>
      <c r="D25" s="11">
        <v>0.73</v>
      </c>
      <c r="E25" s="11">
        <v>1800</v>
      </c>
      <c r="F25" s="11">
        <v>840</v>
      </c>
    </row>
    <row r="26" spans="1:6" x14ac:dyDescent="0.3">
      <c r="A26" t="s">
        <v>140</v>
      </c>
      <c r="B26" t="s">
        <v>185</v>
      </c>
      <c r="D26" s="10">
        <v>0.22</v>
      </c>
      <c r="E26" s="10">
        <v>570</v>
      </c>
      <c r="F26" s="10">
        <v>840</v>
      </c>
    </row>
    <row r="27" spans="1:6" x14ac:dyDescent="0.3">
      <c r="A27" t="s">
        <v>141</v>
      </c>
      <c r="B27" t="s">
        <v>198</v>
      </c>
      <c r="D27" s="11">
        <v>0.73</v>
      </c>
      <c r="E27" s="11">
        <v>1646</v>
      </c>
      <c r="F27" s="11">
        <v>880</v>
      </c>
    </row>
    <row r="28" spans="1:6" x14ac:dyDescent="0.3">
      <c r="A28" t="s">
        <v>142</v>
      </c>
      <c r="B28" t="s">
        <v>186</v>
      </c>
      <c r="D28" s="10">
        <v>4.2000000000000003E-2</v>
      </c>
      <c r="E28" s="10">
        <v>240</v>
      </c>
      <c r="F28" s="10">
        <v>760</v>
      </c>
    </row>
    <row r="29" spans="1:6" x14ac:dyDescent="0.3">
      <c r="A29" t="s">
        <v>143</v>
      </c>
      <c r="B29" t="s">
        <v>187</v>
      </c>
      <c r="D29" s="11">
        <v>0.51900000000000002</v>
      </c>
      <c r="E29" s="11">
        <v>1622</v>
      </c>
      <c r="F29" s="11">
        <v>880</v>
      </c>
    </row>
    <row r="30" spans="1:6" x14ac:dyDescent="0.3">
      <c r="A30" t="s">
        <v>144</v>
      </c>
      <c r="D30" s="10"/>
      <c r="E30" s="10"/>
      <c r="F30" s="10"/>
    </row>
    <row r="31" spans="1:6" x14ac:dyDescent="0.3">
      <c r="A31" t="s">
        <v>145</v>
      </c>
      <c r="B31" t="s">
        <v>188</v>
      </c>
      <c r="D31" s="11">
        <v>0.17399999999999999</v>
      </c>
      <c r="E31" s="11">
        <v>640</v>
      </c>
      <c r="F31" s="11">
        <v>1760</v>
      </c>
    </row>
    <row r="32" spans="1:6" x14ac:dyDescent="0.3">
      <c r="A32" t="s">
        <v>146</v>
      </c>
      <c r="B32" t="s">
        <v>189</v>
      </c>
      <c r="D32" s="10">
        <v>2.8000000000000001E-2</v>
      </c>
      <c r="E32" s="10">
        <v>30</v>
      </c>
      <c r="F32" s="10">
        <v>1470</v>
      </c>
    </row>
    <row r="33" spans="1:6" x14ac:dyDescent="0.3">
      <c r="A33" t="s">
        <v>147</v>
      </c>
      <c r="B33" t="s">
        <v>179</v>
      </c>
      <c r="C33">
        <v>0.15</v>
      </c>
      <c r="D33" s="11">
        <v>1.58</v>
      </c>
      <c r="E33" s="11">
        <v>2288</v>
      </c>
      <c r="F33" s="11">
        <v>880</v>
      </c>
    </row>
    <row r="34" spans="1:6" x14ac:dyDescent="0.3">
      <c r="A34" t="s">
        <v>148</v>
      </c>
      <c r="B34" t="s">
        <v>178</v>
      </c>
      <c r="D34" s="10">
        <v>0.63100000000000001</v>
      </c>
      <c r="E34" s="10">
        <v>1520</v>
      </c>
      <c r="F34" s="10">
        <v>650</v>
      </c>
    </row>
    <row r="35" spans="1:6" x14ac:dyDescent="0.3">
      <c r="A35" t="s">
        <v>149</v>
      </c>
      <c r="B35" t="s">
        <v>203</v>
      </c>
      <c r="C35">
        <v>0.2</v>
      </c>
      <c r="D35" s="11">
        <v>1.3959999999999999</v>
      </c>
      <c r="E35" s="11">
        <v>2427</v>
      </c>
      <c r="F35" s="11">
        <v>200</v>
      </c>
    </row>
    <row r="36" spans="1:6" x14ac:dyDescent="0.3">
      <c r="A36" t="s">
        <v>150</v>
      </c>
      <c r="B36" t="s">
        <v>204</v>
      </c>
      <c r="C36">
        <v>0.2</v>
      </c>
      <c r="D36" s="10">
        <v>1.411</v>
      </c>
      <c r="E36" s="10">
        <v>2349</v>
      </c>
      <c r="F36" s="10">
        <v>300</v>
      </c>
    </row>
    <row r="37" spans="1:6" x14ac:dyDescent="0.3">
      <c r="A37" t="s">
        <v>151</v>
      </c>
      <c r="B37" t="s">
        <v>190</v>
      </c>
      <c r="D37" s="11">
        <v>1.05</v>
      </c>
      <c r="E37" s="11">
        <v>2500</v>
      </c>
      <c r="F37" s="11">
        <v>840</v>
      </c>
    </row>
    <row r="38" spans="1:6" x14ac:dyDescent="0.3">
      <c r="A38" t="s">
        <v>152</v>
      </c>
      <c r="B38" t="s">
        <v>191</v>
      </c>
      <c r="D38" s="10">
        <v>45</v>
      </c>
      <c r="E38" s="10">
        <v>7800</v>
      </c>
      <c r="F38" s="10">
        <v>480</v>
      </c>
    </row>
    <row r="39" spans="1:6" x14ac:dyDescent="0.3">
      <c r="A39" t="s">
        <v>153</v>
      </c>
      <c r="B39" t="s">
        <v>192</v>
      </c>
      <c r="D39" s="11">
        <v>7.1999999999999995E-2</v>
      </c>
      <c r="E39" s="11">
        <v>480</v>
      </c>
      <c r="F39" s="11">
        <v>1680</v>
      </c>
    </row>
    <row r="40" spans="1:6" x14ac:dyDescent="0.3">
      <c r="A40" t="s">
        <v>153</v>
      </c>
      <c r="B40" t="s">
        <v>192</v>
      </c>
      <c r="D40" s="10">
        <v>0.14399999999999999</v>
      </c>
      <c r="E40" s="10">
        <v>720</v>
      </c>
      <c r="F40" s="10">
        <v>1680</v>
      </c>
    </row>
    <row r="41" spans="1:6" x14ac:dyDescent="0.3">
      <c r="A41" t="s">
        <v>154</v>
      </c>
      <c r="B41" t="s">
        <v>193</v>
      </c>
      <c r="C41">
        <v>5.0000000000000001E-3</v>
      </c>
      <c r="D41" s="11">
        <v>2.8000000000000001E-2</v>
      </c>
      <c r="E41" s="11">
        <v>35</v>
      </c>
      <c r="F41" s="11">
        <v>1213</v>
      </c>
    </row>
    <row r="42" spans="1:6" x14ac:dyDescent="0.3">
      <c r="A42" t="s">
        <v>155</v>
      </c>
      <c r="B42" t="s">
        <v>194</v>
      </c>
      <c r="C42">
        <v>0.02</v>
      </c>
      <c r="D42" s="10">
        <v>3.7999999999999999E-2</v>
      </c>
      <c r="E42" s="10">
        <v>28</v>
      </c>
      <c r="F42" s="10">
        <v>1213</v>
      </c>
    </row>
    <row r="43" spans="1:6" x14ac:dyDescent="0.3">
      <c r="A43" t="s">
        <v>156</v>
      </c>
      <c r="B43" t="s">
        <v>195</v>
      </c>
      <c r="C43">
        <v>2.5000000000000001E-2</v>
      </c>
      <c r="D43" s="11">
        <v>2.5999999999999999E-2</v>
      </c>
      <c r="E43" s="11">
        <v>40</v>
      </c>
      <c r="F43" s="11">
        <v>1590</v>
      </c>
    </row>
    <row r="44" spans="1:6" x14ac:dyDescent="0.3">
      <c r="A44" t="s">
        <v>157</v>
      </c>
      <c r="B44" t="s">
        <v>197</v>
      </c>
      <c r="C44">
        <v>0.2</v>
      </c>
      <c r="D44" s="10">
        <v>1.58</v>
      </c>
      <c r="E44" s="10">
        <v>2288</v>
      </c>
      <c r="F44" s="10">
        <v>880</v>
      </c>
    </row>
    <row r="45" spans="1:6" x14ac:dyDescent="0.3">
      <c r="A45" t="s">
        <v>158</v>
      </c>
      <c r="B45" t="s">
        <v>196</v>
      </c>
      <c r="C45">
        <v>2.5000000000000001E-2</v>
      </c>
      <c r="D45" s="11">
        <v>2.5999999999999999E-2</v>
      </c>
      <c r="E45" s="11">
        <v>40</v>
      </c>
      <c r="F45" s="11">
        <v>1590</v>
      </c>
    </row>
    <row r="46" spans="1:6" x14ac:dyDescent="0.3">
      <c r="A46" t="s">
        <v>156</v>
      </c>
      <c r="B46" t="s">
        <v>218</v>
      </c>
      <c r="C46">
        <v>2.5000000000000001E-2</v>
      </c>
      <c r="D46" s="11">
        <v>2.5999999999999999E-2</v>
      </c>
      <c r="E46" s="11">
        <v>40</v>
      </c>
      <c r="F46" s="11">
        <v>1590</v>
      </c>
    </row>
  </sheetData>
  <conditionalFormatting sqref="F2:F46">
    <cfRule type="cellIs" dxfId="1" priority="1" operator="equal">
      <formula>"'=Table2[@[KJ/kgK]]*1000'"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123D-3CC3-4F74-92D6-7F38946BB29A}">
  <dimension ref="A1:F46"/>
  <sheetViews>
    <sheetView topLeftCell="A21" workbookViewId="0">
      <selection activeCell="F47" sqref="F47"/>
    </sheetView>
  </sheetViews>
  <sheetFormatPr defaultRowHeight="14.4" x14ac:dyDescent="0.3"/>
  <cols>
    <col min="1" max="1" width="41.21875" bestFit="1" customWidth="1"/>
    <col min="2" max="2" width="11.88671875" bestFit="1" customWidth="1"/>
    <col min="3" max="3" width="27" bestFit="1" customWidth="1"/>
    <col min="4" max="4" width="15.33203125" bestFit="1" customWidth="1"/>
    <col min="5" max="5" width="19.77734375" bestFit="1" customWidth="1"/>
    <col min="6" max="6" width="16.5546875" bestFit="1" customWidth="1"/>
  </cols>
  <sheetData>
    <row r="1" spans="1:6" x14ac:dyDescent="0.3">
      <c r="A1" t="s">
        <v>116</v>
      </c>
      <c r="B1" t="s">
        <v>2</v>
      </c>
      <c r="C1" t="s">
        <v>206</v>
      </c>
      <c r="D1" t="s">
        <v>207</v>
      </c>
      <c r="E1" t="s">
        <v>208</v>
      </c>
      <c r="F1" t="s">
        <v>216</v>
      </c>
    </row>
    <row r="2" spans="1:6" x14ac:dyDescent="0.3">
      <c r="A2" t="s">
        <v>117</v>
      </c>
      <c r="B2" t="s">
        <v>159</v>
      </c>
      <c r="C2" s="14">
        <f>0.98*0.5778</f>
        <v>0.56624399999999997</v>
      </c>
      <c r="D2" s="14">
        <f>1920*0.06243</f>
        <v>119.8656</v>
      </c>
      <c r="E2" s="14">
        <f>800*0.000238846</f>
        <v>0.19107679999999999</v>
      </c>
      <c r="F2" s="12">
        <v>1</v>
      </c>
    </row>
    <row r="3" spans="1:6" x14ac:dyDescent="0.3">
      <c r="A3" t="s">
        <v>118</v>
      </c>
      <c r="B3" t="s">
        <v>161</v>
      </c>
      <c r="C3" s="15">
        <f>0.245*0.5778</f>
        <v>0.14156099999999999</v>
      </c>
      <c r="D3" s="15">
        <f>1520*0.06243</f>
        <v>94.893599999999992</v>
      </c>
      <c r="E3" s="15">
        <f>840*0.000238846</f>
        <v>0.20063064</v>
      </c>
      <c r="F3" s="12">
        <v>1</v>
      </c>
    </row>
    <row r="4" spans="1:6" x14ac:dyDescent="0.3">
      <c r="A4" t="s">
        <v>119</v>
      </c>
      <c r="B4" t="s">
        <v>162</v>
      </c>
      <c r="C4" s="14">
        <f>0.184*0.5778</f>
        <v>0.1063152</v>
      </c>
      <c r="D4" s="14">
        <f>642*0.06243</f>
        <v>40.080060000000003</v>
      </c>
      <c r="E4" s="14">
        <f>1240*0.000238846</f>
        <v>0.29616903999999999</v>
      </c>
      <c r="F4" s="12">
        <v>1</v>
      </c>
    </row>
    <row r="5" spans="1:6" x14ac:dyDescent="0.3">
      <c r="A5" t="s">
        <v>120</v>
      </c>
      <c r="B5" t="s">
        <v>163</v>
      </c>
      <c r="C5" s="15">
        <f>0.798*0.5778</f>
        <v>0.46108440000000001</v>
      </c>
      <c r="D5" s="15">
        <f>1892*0.06243</f>
        <v>118.11756</v>
      </c>
      <c r="E5" s="15">
        <f>880*0.000238846</f>
        <v>0.21018448000000001</v>
      </c>
      <c r="F5" s="12">
        <v>1</v>
      </c>
    </row>
    <row r="6" spans="1:6" x14ac:dyDescent="0.3">
      <c r="A6" t="s">
        <v>121</v>
      </c>
      <c r="B6" t="s">
        <v>164</v>
      </c>
      <c r="C6" s="14">
        <f>0.188*0.5778</f>
        <v>0.1086264</v>
      </c>
      <c r="D6" s="14">
        <f>704*0.06243</f>
        <v>43.950719999999997</v>
      </c>
      <c r="E6" s="14">
        <f>1050*0.000238846</f>
        <v>0.25078830000000002</v>
      </c>
      <c r="F6" s="12">
        <v>1</v>
      </c>
    </row>
    <row r="7" spans="1:6" x14ac:dyDescent="0.3">
      <c r="A7" t="s">
        <v>122</v>
      </c>
      <c r="B7" t="s">
        <v>165</v>
      </c>
      <c r="C7" s="15">
        <f>0.082*0.5778</f>
        <v>4.7379600000000001E-2</v>
      </c>
      <c r="D7" s="15">
        <f>350*0.06243</f>
        <v>21.8505</v>
      </c>
      <c r="E7" s="15">
        <f>1300*0.000238846</f>
        <v>0.31049979999999999</v>
      </c>
      <c r="F7" s="12">
        <v>1</v>
      </c>
    </row>
    <row r="8" spans="1:6" x14ac:dyDescent="0.3">
      <c r="A8" t="s">
        <v>123</v>
      </c>
      <c r="B8" t="s">
        <v>180</v>
      </c>
      <c r="C8" s="14">
        <f>0.719*0.5778</f>
        <v>0.41543819999999998</v>
      </c>
      <c r="D8" s="14">
        <f>1648*0.06243</f>
        <v>102.88464</v>
      </c>
      <c r="E8" s="14">
        <f>920*0.000238846</f>
        <v>0.21973831999999999</v>
      </c>
      <c r="F8" s="12">
        <v>1</v>
      </c>
    </row>
    <row r="9" spans="1:6" x14ac:dyDescent="0.3">
      <c r="A9" t="s">
        <v>124</v>
      </c>
      <c r="B9" t="s">
        <v>181</v>
      </c>
      <c r="C9" s="15">
        <f>0.93*0.5778</f>
        <v>0.537354</v>
      </c>
      <c r="D9" s="15">
        <f>1900*0.06243</f>
        <v>118.617</v>
      </c>
      <c r="E9" s="15">
        <f>840*0.000238846</f>
        <v>0.20063064</v>
      </c>
      <c r="F9" s="12">
        <v>1</v>
      </c>
    </row>
    <row r="10" spans="1:6" x14ac:dyDescent="0.3">
      <c r="A10" t="s">
        <v>125</v>
      </c>
      <c r="B10" t="s">
        <v>174</v>
      </c>
      <c r="C10" s="14">
        <f>0.721*0.5778</f>
        <v>0.41659379999999996</v>
      </c>
      <c r="D10" s="14">
        <f>1762*0.06243</f>
        <v>110.00166</v>
      </c>
      <c r="E10" s="14">
        <f>840*0.000238846</f>
        <v>0.20063064</v>
      </c>
      <c r="F10" s="12">
        <v>1</v>
      </c>
    </row>
    <row r="11" spans="1:6" x14ac:dyDescent="0.3">
      <c r="A11" t="s">
        <v>126</v>
      </c>
      <c r="B11" t="s">
        <v>166</v>
      </c>
      <c r="C11" s="15">
        <f>1.303*0.5778</f>
        <v>0.75287339999999991</v>
      </c>
      <c r="D11" s="15">
        <f>1900*0.06243</f>
        <v>118.617</v>
      </c>
      <c r="E11" s="15">
        <f>1070*0.000238846</f>
        <v>0.25556521999999998</v>
      </c>
      <c r="F11" s="12">
        <v>1</v>
      </c>
    </row>
    <row r="12" spans="1:6" x14ac:dyDescent="0.3">
      <c r="A12" t="s">
        <v>127</v>
      </c>
      <c r="B12" t="s">
        <v>167</v>
      </c>
      <c r="C12" s="14">
        <f>1.026*0.5778</f>
        <v>0.59282279999999998</v>
      </c>
      <c r="D12" s="14">
        <f>1700*0.06243</f>
        <v>106.131</v>
      </c>
      <c r="E12" s="14">
        <f>1030*0.000238846</f>
        <v>0.24601138</v>
      </c>
      <c r="F12" s="12">
        <v>1</v>
      </c>
    </row>
    <row r="13" spans="1:6" x14ac:dyDescent="0.3">
      <c r="A13" t="s">
        <v>128</v>
      </c>
      <c r="B13" t="s">
        <v>168</v>
      </c>
      <c r="C13" s="15">
        <f>1.201*0.5778</f>
        <v>0.69393780000000005</v>
      </c>
      <c r="D13" s="15">
        <f>1800*0.06243</f>
        <v>112.374</v>
      </c>
      <c r="E13" s="15">
        <f>1070*0.000238846</f>
        <v>0.25556521999999998</v>
      </c>
      <c r="F13" s="12">
        <v>1</v>
      </c>
    </row>
    <row r="14" spans="1:6" x14ac:dyDescent="0.3">
      <c r="A14" t="s">
        <v>129</v>
      </c>
      <c r="B14" t="s">
        <v>169</v>
      </c>
      <c r="C14" s="14">
        <f>1.28*0.5778</f>
        <v>0.73958400000000002</v>
      </c>
      <c r="D14" s="14">
        <f>1460*0.06243</f>
        <v>91.147800000000004</v>
      </c>
      <c r="E14" s="14">
        <f>880*0.000238846</f>
        <v>0.21018448000000001</v>
      </c>
      <c r="F14" s="12">
        <v>1</v>
      </c>
    </row>
    <row r="15" spans="1:6" x14ac:dyDescent="0.3">
      <c r="A15" t="s">
        <v>130</v>
      </c>
      <c r="B15" t="s">
        <v>170</v>
      </c>
      <c r="C15" s="15">
        <f>1.74*0.5778</f>
        <v>1.0053719999999999</v>
      </c>
      <c r="D15" s="15">
        <f>2410*0.06243</f>
        <v>150.4563</v>
      </c>
      <c r="E15" s="15">
        <f>880*0.000238846</f>
        <v>0.21018448000000001</v>
      </c>
      <c r="F15" s="12">
        <v>1</v>
      </c>
    </row>
    <row r="16" spans="1:6" x14ac:dyDescent="0.3">
      <c r="A16" t="s">
        <v>131</v>
      </c>
      <c r="B16" t="s">
        <v>171</v>
      </c>
      <c r="C16" s="14">
        <f>1.2*0.5778</f>
        <v>0.69335999999999998</v>
      </c>
      <c r="D16" s="14">
        <f>2000*0.06243</f>
        <v>124.86</v>
      </c>
      <c r="E16" s="14">
        <f>850*0.000238846</f>
        <v>0.20301910000000001</v>
      </c>
      <c r="F16" s="12">
        <v>1</v>
      </c>
    </row>
    <row r="17" spans="1:6" x14ac:dyDescent="0.3">
      <c r="A17" t="s">
        <v>132</v>
      </c>
      <c r="B17" t="s">
        <v>172</v>
      </c>
      <c r="C17" s="15">
        <f>1.119*0.5778</f>
        <v>0.64655819999999997</v>
      </c>
      <c r="D17" s="15">
        <f>2028*0.06243</f>
        <v>126.60804</v>
      </c>
      <c r="E17" s="15">
        <f>955.2*0.000238846</f>
        <v>0.2281456992</v>
      </c>
      <c r="F17" s="12">
        <v>1</v>
      </c>
    </row>
    <row r="18" spans="1:6" x14ac:dyDescent="0.3">
      <c r="A18" t="s">
        <v>133</v>
      </c>
      <c r="B18" t="s">
        <v>173</v>
      </c>
      <c r="C18" s="14">
        <f>0.3757*0.5778</f>
        <v>0.21707945999999997</v>
      </c>
      <c r="D18" s="14">
        <f>1264*0.06243</f>
        <v>78.911519999999996</v>
      </c>
      <c r="E18" s="14">
        <f>927.8*0.000238846</f>
        <v>0.22160131879999997</v>
      </c>
      <c r="F18" s="12">
        <v>1</v>
      </c>
    </row>
    <row r="19" spans="1:6" x14ac:dyDescent="0.3">
      <c r="A19" t="s">
        <v>134</v>
      </c>
      <c r="B19" t="s">
        <v>175</v>
      </c>
      <c r="C19" s="15">
        <f>0.856*0.5778</f>
        <v>0.49459679999999995</v>
      </c>
      <c r="D19" s="15">
        <f>1650*0.06243</f>
        <v>103.0095</v>
      </c>
      <c r="E19" s="15">
        <f>930*0.000238846</f>
        <v>0.22212678</v>
      </c>
      <c r="F19" s="12">
        <v>1</v>
      </c>
    </row>
    <row r="20" spans="1:6" x14ac:dyDescent="0.3">
      <c r="A20" t="s">
        <v>135</v>
      </c>
      <c r="B20" t="s">
        <v>182</v>
      </c>
      <c r="C20" s="14">
        <f>61.06*0.5778</f>
        <v>35.280467999999999</v>
      </c>
      <c r="D20" s="14">
        <f>7520*0.06243</f>
        <v>469.47359999999998</v>
      </c>
      <c r="E20" s="14">
        <f>500*0.000238846</f>
        <v>0.119423</v>
      </c>
      <c r="F20" s="12">
        <v>1</v>
      </c>
    </row>
    <row r="21" spans="1:6" x14ac:dyDescent="0.3">
      <c r="A21" t="s">
        <v>105</v>
      </c>
      <c r="B21" t="s">
        <v>160</v>
      </c>
      <c r="C21" s="15">
        <f>0.814*0.5778</f>
        <v>0.47032919999999995</v>
      </c>
      <c r="D21" s="15">
        <f>2350*0.06243</f>
        <v>146.7105</v>
      </c>
      <c r="E21" s="15">
        <f>880*0.000238846</f>
        <v>0.21018448000000001</v>
      </c>
      <c r="F21" s="12">
        <v>1</v>
      </c>
    </row>
    <row r="22" spans="1:6" x14ac:dyDescent="0.3">
      <c r="A22" t="s">
        <v>136</v>
      </c>
      <c r="B22" t="s">
        <v>183</v>
      </c>
      <c r="C22" s="14">
        <f>0.512*0.5778</f>
        <v>0.29583359999999997</v>
      </c>
      <c r="D22" s="14">
        <f>1120*0.06243</f>
        <v>69.921599999999998</v>
      </c>
      <c r="E22" s="14">
        <f>960*0.000238846</f>
        <v>0.22929215999999999</v>
      </c>
      <c r="F22" s="12">
        <v>1</v>
      </c>
    </row>
    <row r="23" spans="1:6" x14ac:dyDescent="0.3">
      <c r="A23" t="s">
        <v>137</v>
      </c>
      <c r="B23" t="s">
        <v>176</v>
      </c>
      <c r="C23" s="15">
        <f>1.31*0.5778</f>
        <v>0.75691799999999998</v>
      </c>
      <c r="D23" s="15">
        <f>2240*0.06243</f>
        <v>139.8432</v>
      </c>
      <c r="E23" s="15">
        <f>840*0.000238846</f>
        <v>0.20063064</v>
      </c>
      <c r="F23" s="12">
        <v>1</v>
      </c>
    </row>
    <row r="24" spans="1:6" x14ac:dyDescent="0.3">
      <c r="A24" t="s">
        <v>138</v>
      </c>
      <c r="B24" t="s">
        <v>184</v>
      </c>
      <c r="C24" s="14">
        <f>0.9*0.5778</f>
        <v>0.52002000000000004</v>
      </c>
      <c r="D24" s="14">
        <f>1850*0.06243</f>
        <v>115.49549999999999</v>
      </c>
      <c r="E24" s="14">
        <f>840*0.000238846</f>
        <v>0.20063064</v>
      </c>
      <c r="F24" s="12">
        <v>1</v>
      </c>
    </row>
    <row r="25" spans="1:6" x14ac:dyDescent="0.3">
      <c r="A25" t="s">
        <v>139</v>
      </c>
      <c r="B25" t="s">
        <v>177</v>
      </c>
      <c r="C25" s="15">
        <f>0.73*0.5778</f>
        <v>0.421794</v>
      </c>
      <c r="D25" s="15">
        <f>1800*0.06243</f>
        <v>112.374</v>
      </c>
      <c r="E25" s="15">
        <f>840*0.000238846</f>
        <v>0.20063064</v>
      </c>
      <c r="F25" s="12">
        <v>1</v>
      </c>
    </row>
    <row r="26" spans="1:6" x14ac:dyDescent="0.3">
      <c r="A26" t="s">
        <v>140</v>
      </c>
      <c r="B26" t="s">
        <v>185</v>
      </c>
      <c r="C26" s="14">
        <f>0.22*0.5778</f>
        <v>0.12711600000000001</v>
      </c>
      <c r="D26" s="14">
        <f>570*0.06243</f>
        <v>35.585099999999997</v>
      </c>
      <c r="E26" s="14">
        <f>840*0.000238846</f>
        <v>0.20063064</v>
      </c>
      <c r="F26" s="12">
        <v>1</v>
      </c>
    </row>
    <row r="27" spans="1:6" x14ac:dyDescent="0.3">
      <c r="A27" t="s">
        <v>141</v>
      </c>
      <c r="B27" t="s">
        <v>198</v>
      </c>
      <c r="C27" s="15">
        <f>0.73*0.5778</f>
        <v>0.421794</v>
      </c>
      <c r="D27" s="15">
        <f>1646*0.06243</f>
        <v>102.75977999999999</v>
      </c>
      <c r="E27" s="15">
        <f>880*0.000238846</f>
        <v>0.21018448000000001</v>
      </c>
      <c r="F27" s="12">
        <v>1</v>
      </c>
    </row>
    <row r="28" spans="1:6" x14ac:dyDescent="0.3">
      <c r="A28" t="s">
        <v>142</v>
      </c>
      <c r="B28" t="s">
        <v>186</v>
      </c>
      <c r="C28" s="14">
        <f>0.042*0.5778</f>
        <v>2.42676E-2</v>
      </c>
      <c r="D28" s="14">
        <f>240*0.06243</f>
        <v>14.9832</v>
      </c>
      <c r="E28" s="14">
        <f>760*0.000238846</f>
        <v>0.18152296000000001</v>
      </c>
      <c r="F28" s="12">
        <v>1</v>
      </c>
    </row>
    <row r="29" spans="1:6" x14ac:dyDescent="0.3">
      <c r="A29" t="s">
        <v>143</v>
      </c>
      <c r="B29" t="s">
        <v>187</v>
      </c>
      <c r="C29" s="15">
        <f>0.519*0.5778</f>
        <v>0.29987819999999998</v>
      </c>
      <c r="D29" s="15">
        <f>1622*0.06243</f>
        <v>101.26146</v>
      </c>
      <c r="E29" s="15">
        <f>880*0.000238846</f>
        <v>0.21018448000000001</v>
      </c>
      <c r="F29" s="12">
        <v>1</v>
      </c>
    </row>
    <row r="30" spans="1:6" x14ac:dyDescent="0.3">
      <c r="A30" t="s">
        <v>144</v>
      </c>
      <c r="C30" s="10"/>
      <c r="D30" s="14"/>
      <c r="E30" s="10"/>
      <c r="F30" s="12">
        <v>1</v>
      </c>
    </row>
    <row r="31" spans="1:6" x14ac:dyDescent="0.3">
      <c r="A31" t="s">
        <v>145</v>
      </c>
      <c r="B31" t="s">
        <v>188</v>
      </c>
      <c r="C31" s="15">
        <f>0.174*0.5778</f>
        <v>0.10053719999999999</v>
      </c>
      <c r="D31" s="15">
        <f>640*0.06243</f>
        <v>39.955199999999998</v>
      </c>
      <c r="E31" s="15">
        <f>1760*0.000238846</f>
        <v>0.42036896000000001</v>
      </c>
      <c r="F31" s="12">
        <v>1</v>
      </c>
    </row>
    <row r="32" spans="1:6" x14ac:dyDescent="0.3">
      <c r="A32" t="s">
        <v>146</v>
      </c>
      <c r="B32" t="s">
        <v>189</v>
      </c>
      <c r="C32" s="14">
        <f>0.028*0.5778</f>
        <v>1.6178399999999999E-2</v>
      </c>
      <c r="D32" s="14">
        <f>30*0.06243</f>
        <v>1.8729</v>
      </c>
      <c r="E32" s="14">
        <f>1470*0.000238846</f>
        <v>0.35110362000000001</v>
      </c>
      <c r="F32" s="12">
        <v>1</v>
      </c>
    </row>
    <row r="33" spans="1:6" x14ac:dyDescent="0.3">
      <c r="A33" t="s">
        <v>147</v>
      </c>
      <c r="B33" t="s">
        <v>179</v>
      </c>
      <c r="C33" s="15">
        <f>1.58*0.5778</f>
        <v>0.91292399999999996</v>
      </c>
      <c r="D33" s="15">
        <f>2288*0.06243</f>
        <v>142.83984000000001</v>
      </c>
      <c r="E33" s="15">
        <f>880*0.000238846</f>
        <v>0.21018448000000001</v>
      </c>
      <c r="F33" s="12">
        <v>1</v>
      </c>
    </row>
    <row r="34" spans="1:6" x14ac:dyDescent="0.3">
      <c r="A34" t="s">
        <v>148</v>
      </c>
      <c r="B34" t="s">
        <v>178</v>
      </c>
      <c r="C34" s="14">
        <f>0.631*0.5778</f>
        <v>0.36459179999999997</v>
      </c>
      <c r="D34" s="14">
        <f>1520*0.06243</f>
        <v>94.893599999999992</v>
      </c>
      <c r="E34" s="14">
        <f>650*0.000238846</f>
        <v>0.1552499</v>
      </c>
      <c r="F34" s="12">
        <v>1</v>
      </c>
    </row>
    <row r="35" spans="1:6" x14ac:dyDescent="0.3">
      <c r="A35" t="s">
        <v>149</v>
      </c>
      <c r="B35" t="s">
        <v>209</v>
      </c>
      <c r="C35" s="15">
        <f>1.396*0.5778</f>
        <v>0.8066087999999999</v>
      </c>
      <c r="D35" s="15">
        <f>2427*0.06243</f>
        <v>151.51760999999999</v>
      </c>
      <c r="E35" s="15">
        <f>200*0.000238846</f>
        <v>4.7769199999999998E-2</v>
      </c>
      <c r="F35" s="12">
        <v>1</v>
      </c>
    </row>
    <row r="36" spans="1:6" x14ac:dyDescent="0.3">
      <c r="A36" t="s">
        <v>150</v>
      </c>
      <c r="B36" t="s">
        <v>204</v>
      </c>
      <c r="C36" s="14">
        <f>1.411*0.5778</f>
        <v>0.81527579999999999</v>
      </c>
      <c r="D36" s="14">
        <f>2349*0.06243</f>
        <v>146.64806999999999</v>
      </c>
      <c r="E36" s="14">
        <f>300*0.000238846</f>
        <v>7.1653800000000004E-2</v>
      </c>
      <c r="F36" s="12">
        <v>1</v>
      </c>
    </row>
    <row r="37" spans="1:6" x14ac:dyDescent="0.3">
      <c r="A37" t="s">
        <v>151</v>
      </c>
      <c r="B37" t="s">
        <v>190</v>
      </c>
      <c r="C37" s="15">
        <f>1.05*0.5778</f>
        <v>0.60668999999999995</v>
      </c>
      <c r="D37" s="15">
        <f>2500*0.06243</f>
        <v>156.07499999999999</v>
      </c>
      <c r="E37" s="15">
        <f>840*0.000238846</f>
        <v>0.20063064</v>
      </c>
      <c r="F37" s="12">
        <v>1</v>
      </c>
    </row>
    <row r="38" spans="1:6" x14ac:dyDescent="0.3">
      <c r="A38" t="s">
        <v>152</v>
      </c>
      <c r="B38" t="s">
        <v>191</v>
      </c>
      <c r="C38" s="14">
        <f>45*0.5778</f>
        <v>26.000999999999998</v>
      </c>
      <c r="D38" s="14">
        <f>7800*0.06243</f>
        <v>486.95400000000001</v>
      </c>
      <c r="E38" s="14">
        <f>480*0.000238846</f>
        <v>0.11464608</v>
      </c>
      <c r="F38" s="12">
        <v>1</v>
      </c>
    </row>
    <row r="39" spans="1:6" x14ac:dyDescent="0.3">
      <c r="A39" t="s">
        <v>153</v>
      </c>
      <c r="B39" t="s">
        <v>192</v>
      </c>
      <c r="C39" s="15">
        <f>0.072*0.5778</f>
        <v>4.1601599999999996E-2</v>
      </c>
      <c r="D39" s="15">
        <f>480*0.06243</f>
        <v>29.9664</v>
      </c>
      <c r="E39" s="15">
        <f>1680*0.000238846</f>
        <v>0.40126128</v>
      </c>
      <c r="F39" s="12">
        <v>1</v>
      </c>
    </row>
    <row r="40" spans="1:6" x14ac:dyDescent="0.3">
      <c r="A40" t="s">
        <v>153</v>
      </c>
      <c r="B40" t="s">
        <v>192</v>
      </c>
      <c r="C40" s="14">
        <f>0.144*0.5778</f>
        <v>8.3203199999999991E-2</v>
      </c>
      <c r="D40" s="14">
        <f>720*0.06243</f>
        <v>44.949599999999997</v>
      </c>
      <c r="E40" s="14">
        <f>1680*0.000238846</f>
        <v>0.40126128</v>
      </c>
      <c r="F40" s="12">
        <v>1</v>
      </c>
    </row>
    <row r="41" spans="1:6" x14ac:dyDescent="0.3">
      <c r="A41" t="s">
        <v>154</v>
      </c>
      <c r="B41" t="s">
        <v>193</v>
      </c>
      <c r="C41" s="15">
        <f>0.028*0.5778</f>
        <v>1.6178399999999999E-2</v>
      </c>
      <c r="D41" s="15">
        <f>35*0.06243</f>
        <v>2.1850499999999999</v>
      </c>
      <c r="E41" s="15">
        <f>1213*0.000238846</f>
        <v>0.28972019799999998</v>
      </c>
      <c r="F41" s="12">
        <v>1</v>
      </c>
    </row>
    <row r="42" spans="1:6" x14ac:dyDescent="0.3">
      <c r="A42" t="s">
        <v>155</v>
      </c>
      <c r="B42" t="s">
        <v>194</v>
      </c>
      <c r="C42" s="14">
        <f>0.038*0.5778</f>
        <v>2.1956399999999997E-2</v>
      </c>
      <c r="D42" s="14">
        <f>28*0.06243</f>
        <v>1.74804</v>
      </c>
      <c r="E42" s="14">
        <f>1213*0.000238846</f>
        <v>0.28972019799999998</v>
      </c>
      <c r="F42" s="12">
        <v>1</v>
      </c>
    </row>
    <row r="43" spans="1:6" x14ac:dyDescent="0.3">
      <c r="A43" t="s">
        <v>156</v>
      </c>
      <c r="B43" t="s">
        <v>195</v>
      </c>
      <c r="C43" s="15">
        <f>0.026*0.5778</f>
        <v>1.5022799999999999E-2</v>
      </c>
      <c r="D43" s="15">
        <f>40*0.06243</f>
        <v>2.4971999999999999</v>
      </c>
      <c r="E43" s="15">
        <f>1590*0.000238846</f>
        <v>0.37976514</v>
      </c>
      <c r="F43" s="12">
        <v>1</v>
      </c>
    </row>
    <row r="44" spans="1:6" x14ac:dyDescent="0.3">
      <c r="A44" t="s">
        <v>157</v>
      </c>
      <c r="B44" t="s">
        <v>197</v>
      </c>
      <c r="C44" s="14">
        <f>1.58*0.5778</f>
        <v>0.91292399999999996</v>
      </c>
      <c r="D44" s="14">
        <f>2288*0.06243</f>
        <v>142.83984000000001</v>
      </c>
      <c r="E44" s="14">
        <f>880*0.000238846</f>
        <v>0.21018448000000001</v>
      </c>
      <c r="F44" s="12">
        <v>1</v>
      </c>
    </row>
    <row r="45" spans="1:6" x14ac:dyDescent="0.3">
      <c r="A45" t="s">
        <v>158</v>
      </c>
      <c r="B45" t="s">
        <v>196</v>
      </c>
      <c r="C45" s="15">
        <f>0.026*0.5778</f>
        <v>1.5022799999999999E-2</v>
      </c>
      <c r="D45" s="15">
        <f>40*0.06243</f>
        <v>2.4971999999999999</v>
      </c>
      <c r="E45" s="15">
        <f>1590*0.000238846</f>
        <v>0.37976514</v>
      </c>
      <c r="F45" s="12">
        <v>1</v>
      </c>
    </row>
    <row r="46" spans="1:6" x14ac:dyDescent="0.3">
      <c r="A46" t="s">
        <v>156</v>
      </c>
      <c r="B46" t="s">
        <v>218</v>
      </c>
      <c r="C46" s="17">
        <f>0.026*0.5778</f>
        <v>1.5022799999999999E-2</v>
      </c>
      <c r="D46" s="17">
        <f>40*0.06243</f>
        <v>2.4971999999999999</v>
      </c>
      <c r="E46" s="17">
        <f>1590*0.000238846</f>
        <v>0.37976514</v>
      </c>
      <c r="F46" s="18">
        <v>1</v>
      </c>
    </row>
  </sheetData>
  <conditionalFormatting sqref="E2:E46">
    <cfRule type="cellIs" dxfId="0" priority="1" operator="equal">
      <formula>"'=Table2[@[KJ/kgK]]*1000'"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B282-9D25-4C9B-ACD9-E0AA383C4178}">
  <dimension ref="A1:A4"/>
  <sheetViews>
    <sheetView workbookViewId="0">
      <selection activeCell="F8" sqref="F8"/>
    </sheetView>
  </sheetViews>
  <sheetFormatPr defaultRowHeight="14.4" x14ac:dyDescent="0.3"/>
  <sheetData>
    <row r="1" spans="1:1" x14ac:dyDescent="0.3">
      <c r="A1" t="s">
        <v>221</v>
      </c>
    </row>
    <row r="2" spans="1:1" x14ac:dyDescent="0.3">
      <c r="A2">
        <v>1</v>
      </c>
    </row>
    <row r="3" spans="1:1" x14ac:dyDescent="0.3">
      <c r="A3">
        <v>2.5</v>
      </c>
    </row>
    <row r="4" spans="1:1" x14ac:dyDescent="0.3">
      <c r="A4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4F4B-A314-4470-AD49-5C9EB128C8A9}">
  <dimension ref="A1:A13"/>
  <sheetViews>
    <sheetView workbookViewId="0">
      <selection activeCell="N14" sqref="N14"/>
    </sheetView>
  </sheetViews>
  <sheetFormatPr defaultRowHeight="14.4" x14ac:dyDescent="0.3"/>
  <sheetData>
    <row r="1" spans="1:1" x14ac:dyDescent="0.3">
      <c r="A1" t="s">
        <v>221</v>
      </c>
    </row>
    <row r="2" spans="1:1" x14ac:dyDescent="0.3">
      <c r="A2">
        <v>2.5</v>
      </c>
    </row>
    <row r="3" spans="1:1" x14ac:dyDescent="0.3">
      <c r="A3">
        <v>5</v>
      </c>
    </row>
    <row r="4" spans="1:1" x14ac:dyDescent="0.3">
      <c r="A4">
        <v>7.5</v>
      </c>
    </row>
    <row r="5" spans="1:1" x14ac:dyDescent="0.3">
      <c r="A5">
        <v>10</v>
      </c>
    </row>
    <row r="6" spans="1:1" x14ac:dyDescent="0.3">
      <c r="A6">
        <v>12.5</v>
      </c>
    </row>
    <row r="7" spans="1:1" x14ac:dyDescent="0.3">
      <c r="A7">
        <v>15</v>
      </c>
    </row>
    <row r="8" spans="1:1" x14ac:dyDescent="0.3">
      <c r="A8">
        <v>17.5</v>
      </c>
    </row>
    <row r="9" spans="1:1" x14ac:dyDescent="0.3">
      <c r="A9">
        <v>20</v>
      </c>
    </row>
    <row r="10" spans="1:1" x14ac:dyDescent="0.3">
      <c r="A10">
        <v>22.5</v>
      </c>
    </row>
    <row r="11" spans="1:1" x14ac:dyDescent="0.3">
      <c r="A11">
        <v>25</v>
      </c>
    </row>
    <row r="12" spans="1:1" x14ac:dyDescent="0.3">
      <c r="A12">
        <v>27.5</v>
      </c>
    </row>
    <row r="13" spans="1:1" x14ac:dyDescent="0.3">
      <c r="A13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121C-BB56-48FC-9DBF-68815042AD4B}">
  <dimension ref="A1:Q23"/>
  <sheetViews>
    <sheetView workbookViewId="0">
      <selection activeCell="M20" sqref="M20"/>
    </sheetView>
  </sheetViews>
  <sheetFormatPr defaultRowHeight="14.4" x14ac:dyDescent="0.3"/>
  <cols>
    <col min="1" max="1" width="12.33203125" bestFit="1" customWidth="1"/>
    <col min="2" max="2" width="9.5546875" bestFit="1" customWidth="1"/>
    <col min="3" max="3" width="13" bestFit="1" customWidth="1"/>
    <col min="4" max="4" width="16.109375" bestFit="1" customWidth="1"/>
    <col min="5" max="5" width="7.44140625" bestFit="1" customWidth="1"/>
    <col min="6" max="6" width="26.5546875" bestFit="1" customWidth="1"/>
    <col min="11" max="11" width="9.109375" bestFit="1" customWidth="1"/>
    <col min="12" max="12" width="12.5546875" customWidth="1"/>
  </cols>
  <sheetData>
    <row r="1" spans="1:17" x14ac:dyDescent="0.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113</v>
      </c>
      <c r="J1" t="s">
        <v>248</v>
      </c>
      <c r="K1" t="s">
        <v>244</v>
      </c>
      <c r="L1" t="s">
        <v>245</v>
      </c>
      <c r="M1" t="s">
        <v>222</v>
      </c>
      <c r="N1" t="s">
        <v>246</v>
      </c>
      <c r="O1" t="s">
        <v>247</v>
      </c>
      <c r="P1" t="s">
        <v>249</v>
      </c>
      <c r="Q1" t="s">
        <v>102</v>
      </c>
    </row>
    <row r="2" spans="1:17" x14ac:dyDescent="0.3">
      <c r="C2">
        <f>Table76[[#This Row],[U-value (COG)]]/5.67</f>
        <v>0</v>
      </c>
      <c r="D2">
        <f>Table76[[#This Row],[GLASS-CONDUCT]]/0.87</f>
        <v>0</v>
      </c>
      <c r="E2" t="str">
        <f>IF(Table76[[#This Row],[Glass Type]]="Double Glazed","DG","SG")</f>
        <v>SG</v>
      </c>
      <c r="F2" t="str">
        <f>CONCATENATE("ML_",Table76[[#This Row],[Glass]],"_",ROUND(Table76[[#This Row],[U-Value(IP)]],2),"_",ROUND(Table76[[#This Row],[SHADING-COEF]],2),"_",Table76[[#This Row],[VIS-TRANS]],"_",Table76[[#This Row],[Climate]])</f>
        <v>ML_SG_0_0__</v>
      </c>
      <c r="P2" s="13"/>
    </row>
    <row r="3" spans="1:17" x14ac:dyDescent="0.3">
      <c r="A3">
        <v>0.4</v>
      </c>
      <c r="B3" t="s">
        <v>109</v>
      </c>
      <c r="C3" s="7">
        <f>Table76[[#This Row],[U-value (COG)]]/5.67</f>
        <v>0.67019400352733682</v>
      </c>
      <c r="D3" s="7">
        <f>Table76[[#This Row],[GLASS-CONDUCT]]/0.87</f>
        <v>0.34482758620689652</v>
      </c>
      <c r="E3" t="str">
        <f>IF(Table76[[#This Row],[Glass Type]]="Double Glazed","DG","SG")</f>
        <v>SG</v>
      </c>
      <c r="F3" t="str">
        <f>CONCATENATE("ML_",Table76[[#This Row],[Glass]],"_",ROUND(Table76[[#This Row],[U-Value(IP)]],2),"_",ROUND(Table76[[#This Row],[SHADING-COEF]],2),"_",Table76[[#This Row],[VIS-TRANS]],"_",Table76[[#This Row],[Climate]])</f>
        <v>ML_SG_0.67_0.34_0.4_Others</v>
      </c>
      <c r="G3">
        <v>1</v>
      </c>
      <c r="J3">
        <v>0</v>
      </c>
      <c r="L3">
        <v>1</v>
      </c>
      <c r="M3" s="20">
        <f>1/L3</f>
        <v>1</v>
      </c>
      <c r="P3" s="13"/>
    </row>
    <row r="4" spans="1:17" x14ac:dyDescent="0.3">
      <c r="A4">
        <v>0.4</v>
      </c>
      <c r="B4" t="s">
        <v>109</v>
      </c>
      <c r="C4" s="7">
        <f>Table76[[#This Row],[U-value (COG)]]/5.67</f>
        <v>0.84656084656084651</v>
      </c>
      <c r="D4" s="7">
        <f>Table76[[#This Row],[GLASS-CONDUCT]]/0.87</f>
        <v>0.34482758620689652</v>
      </c>
      <c r="E4" t="str">
        <f>IF(Table76[[#This Row],[Glass Type]]="Double Glazed","DG","SG")</f>
        <v>SG</v>
      </c>
      <c r="F4" t="str">
        <f>CONCATENATE("ML_",Table76[[#This Row],[Glass]],"_",ROUND(Table76[[#This Row],[U-Value(IP)]],2),"_",ROUND(Table76[[#This Row],[SHADING-COEF]],2),"_",Table76[[#This Row],[VIS-TRANS]],"_",Table76[[#This Row],[Climate]])</f>
        <v>ML_SG_0.85_0.34_0.4_Others</v>
      </c>
      <c r="G4">
        <v>2</v>
      </c>
      <c r="J4">
        <v>1</v>
      </c>
      <c r="L4">
        <v>0.66666999999999998</v>
      </c>
      <c r="M4" s="20">
        <f t="shared" ref="M4:M11" si="0">1/L4</f>
        <v>1.4999925000374998</v>
      </c>
      <c r="P4" s="13"/>
    </row>
    <row r="5" spans="1:17" x14ac:dyDescent="0.3">
      <c r="A5">
        <v>0.4</v>
      </c>
      <c r="B5" t="s">
        <v>109</v>
      </c>
      <c r="C5" s="7">
        <f>Table76[[#This Row],[U-value (COG)]]/5.67</f>
        <v>0.84656084656084651</v>
      </c>
      <c r="D5" s="7">
        <f>Table76[[#This Row],[GLASS-CONDUCT]]/0.87</f>
        <v>0.45977011494252878</v>
      </c>
      <c r="E5" t="str">
        <f>IF(Table76[[#This Row],[Glass Type]]="Double Glazed","DG","SG")</f>
        <v>SG</v>
      </c>
      <c r="F5" t="str">
        <f>CONCATENATE("ML_",Table76[[#This Row],[Glass]],"_",ROUND(Table76[[#This Row],[U-Value(IP)]],2),"_",ROUND(Table76[[#This Row],[SHADING-COEF]],2),"_",Table76[[#This Row],[VIS-TRANS]],"_",Table76[[#This Row],[Climate]])</f>
        <v>ML_SG_0.85_0.46_0.4_Others</v>
      </c>
      <c r="G5">
        <v>3</v>
      </c>
      <c r="J5">
        <v>2</v>
      </c>
      <c r="L5">
        <v>0.5</v>
      </c>
      <c r="M5" s="20">
        <f t="shared" si="0"/>
        <v>2</v>
      </c>
      <c r="P5" s="13"/>
    </row>
    <row r="6" spans="1:17" x14ac:dyDescent="0.3">
      <c r="A6">
        <v>0.4</v>
      </c>
      <c r="B6" t="s">
        <v>109</v>
      </c>
      <c r="C6" s="7">
        <f>Table76[[#This Row],[U-value (COG)]]/5.67</f>
        <v>0.84656084656084651</v>
      </c>
      <c r="D6" s="7">
        <f>Table76[[#This Row],[GLASS-CONDUCT]]/0.87</f>
        <v>0.57471264367816088</v>
      </c>
      <c r="E6" t="str">
        <f>IF(Table76[[#This Row],[Glass Type]]="Double Glazed","DG","SG")</f>
        <v>SG</v>
      </c>
      <c r="F6" t="str">
        <f>CONCATENATE("ML_",Table76[[#This Row],[Glass]],"_",ROUND(Table76[[#This Row],[U-Value(IP)]],2),"_",ROUND(Table76[[#This Row],[SHADING-COEF]],2),"_",Table76[[#This Row],[VIS-TRANS]],"_",Table76[[#This Row],[Climate]])</f>
        <v>ML_SG_0.85_0.57_0.4_Others</v>
      </c>
      <c r="G6">
        <v>4</v>
      </c>
      <c r="J6">
        <v>3</v>
      </c>
      <c r="L6">
        <v>0.4</v>
      </c>
      <c r="M6" s="20">
        <f t="shared" si="0"/>
        <v>2.5</v>
      </c>
      <c r="P6" s="13"/>
    </row>
    <row r="7" spans="1:17" x14ac:dyDescent="0.3">
      <c r="A7">
        <v>0.4</v>
      </c>
      <c r="B7" t="s">
        <v>109</v>
      </c>
      <c r="C7" s="7">
        <f>Table76[[#This Row],[U-value (COG)]]/5.67</f>
        <v>0.84656084656084651</v>
      </c>
      <c r="D7" s="7">
        <f>Table76[[#This Row],[GLASS-CONDUCT]]/0.87</f>
        <v>0.68965517241379304</v>
      </c>
      <c r="E7" t="str">
        <f>IF(Table76[[#This Row],[Glass Type]]="Double Glazed","DG","SG")</f>
        <v>SG</v>
      </c>
      <c r="F7" t="str">
        <f>CONCATENATE("ML_",Table76[[#This Row],[Glass]],"_",ROUND(Table76[[#This Row],[U-Value(IP)]],2),"_",ROUND(Table76[[#This Row],[SHADING-COEF]],2),"_",Table76[[#This Row],[VIS-TRANS]],"_",Table76[[#This Row],[Climate]])</f>
        <v>ML_SG_0.85_0.69_0.4_Others</v>
      </c>
      <c r="G7">
        <v>5</v>
      </c>
      <c r="J7">
        <v>4</v>
      </c>
      <c r="L7">
        <v>0.33333000000000002</v>
      </c>
      <c r="M7" s="20">
        <f t="shared" si="0"/>
        <v>3.0000300003000029</v>
      </c>
      <c r="P7" s="13"/>
    </row>
    <row r="8" spans="1:17" x14ac:dyDescent="0.3">
      <c r="A8">
        <v>0.4</v>
      </c>
      <c r="B8" t="s">
        <v>109</v>
      </c>
      <c r="C8" s="7">
        <f>Table76[[#This Row],[U-value (COG)]]/5.67</f>
        <v>0.84656084656084651</v>
      </c>
      <c r="D8" s="7">
        <f>Table76[[#This Row],[GLASS-CONDUCT]]/0.87</f>
        <v>0.80459770114942519</v>
      </c>
      <c r="E8" t="str">
        <f>IF(Table76[[#This Row],[Glass Type]]="Double Glazed","DG","SG")</f>
        <v>SG</v>
      </c>
      <c r="F8" t="str">
        <f>CONCATENATE("ML_",Table76[[#This Row],[Glass]],"_",ROUND(Table76[[#This Row],[U-Value(IP)]],2),"_",ROUND(Table76[[#This Row],[SHADING-COEF]],2),"_",Table76[[#This Row],[VIS-TRANS]],"_",Table76[[#This Row],[Climate]])</f>
        <v>ML_SG_0.85_0.8_0.4_Others</v>
      </c>
      <c r="G8">
        <v>6</v>
      </c>
      <c r="J8">
        <v>5</v>
      </c>
      <c r="L8">
        <v>0.28571000000000002</v>
      </c>
      <c r="M8" s="20">
        <f t="shared" si="0"/>
        <v>3.5000525007875116</v>
      </c>
      <c r="P8" s="13"/>
    </row>
    <row r="9" spans="1:17" x14ac:dyDescent="0.3">
      <c r="A9">
        <v>0.4</v>
      </c>
      <c r="B9" t="s">
        <v>109</v>
      </c>
      <c r="C9" s="7">
        <f>Table76[[#This Row],[U-value (COG)]]/5.67</f>
        <v>1.0052910052910053</v>
      </c>
      <c r="D9" s="7">
        <f>Table76[[#This Row],[GLASS-CONDUCT]]/0.87</f>
        <v>0.34482758620689652</v>
      </c>
      <c r="E9" t="str">
        <f>IF(Table76[[#This Row],[Glass Type]]="Double Glazed","DG","SG")</f>
        <v>SG</v>
      </c>
      <c r="F9" t="str">
        <f>CONCATENATE("ML_",Table76[[#This Row],[Glass]],"_",ROUND(Table76[[#This Row],[U-Value(IP)]],2),"_",ROUND(Table76[[#This Row],[SHADING-COEF]],2),"_",Table76[[#This Row],[VIS-TRANS]],"_",Table76[[#This Row],[Climate]])</f>
        <v>ML_SG_1.01_0.34_0.4_Others</v>
      </c>
      <c r="G9">
        <v>7</v>
      </c>
      <c r="J9">
        <v>6</v>
      </c>
      <c r="L9">
        <v>0.25</v>
      </c>
      <c r="M9" s="20">
        <f t="shared" si="0"/>
        <v>4</v>
      </c>
      <c r="P9" s="13"/>
    </row>
    <row r="10" spans="1:17" x14ac:dyDescent="0.3">
      <c r="A10">
        <v>0.4</v>
      </c>
      <c r="B10" t="s">
        <v>109</v>
      </c>
      <c r="C10" s="7">
        <f>Table76[[#This Row],[U-value (COG)]]/5.67</f>
        <v>1.0052910052910053</v>
      </c>
      <c r="D10" s="7">
        <f>Table76[[#This Row],[GLASS-CONDUCT]]/0.87</f>
        <v>0.45977011494252878</v>
      </c>
      <c r="E10" t="str">
        <f>IF(Table76[[#This Row],[Glass Type]]="Double Glazed","DG","SG")</f>
        <v>SG</v>
      </c>
      <c r="F10" t="str">
        <f>CONCATENATE("ML_",Table76[[#This Row],[Glass]],"_",ROUND(Table76[[#This Row],[U-Value(IP)]],2),"_",ROUND(Table76[[#This Row],[SHADING-COEF]],2),"_",Table76[[#This Row],[VIS-TRANS]],"_",Table76[[#This Row],[Climate]])</f>
        <v>ML_SG_1.01_0.46_0.4_Others</v>
      </c>
      <c r="G10">
        <v>8</v>
      </c>
      <c r="J10">
        <v>7</v>
      </c>
      <c r="L10">
        <v>0.22222</v>
      </c>
      <c r="M10" s="20">
        <f t="shared" si="0"/>
        <v>4.5000450004500046</v>
      </c>
      <c r="P10" s="13"/>
    </row>
    <row r="11" spans="1:17" x14ac:dyDescent="0.3">
      <c r="A11">
        <v>0.4</v>
      </c>
      <c r="B11" t="s">
        <v>109</v>
      </c>
      <c r="C11" s="7">
        <f>Table76[[#This Row],[U-value (COG)]]/5.67</f>
        <v>1.0052910052910053</v>
      </c>
      <c r="D11" s="7">
        <f>Table76[[#This Row],[GLASS-CONDUCT]]/0.87</f>
        <v>0.57471264367816088</v>
      </c>
      <c r="E11" t="str">
        <f>IF(Table76[[#This Row],[Glass Type]]="Double Glazed","DG","SG")</f>
        <v>SG</v>
      </c>
      <c r="F11" t="str">
        <f>CONCATENATE("ML_",Table76[[#This Row],[Glass]],"_",ROUND(Table76[[#This Row],[U-Value(IP)]],2),"_",ROUND(Table76[[#This Row],[SHADING-COEF]],2),"_",Table76[[#This Row],[VIS-TRANS]],"_",Table76[[#This Row],[Climate]])</f>
        <v>ML_SG_1.01_0.57_0.4_Others</v>
      </c>
      <c r="G11">
        <v>9</v>
      </c>
      <c r="J11">
        <v>8</v>
      </c>
      <c r="L11">
        <v>0.21134</v>
      </c>
      <c r="M11" s="20">
        <f t="shared" si="0"/>
        <v>4.731711933377496</v>
      </c>
      <c r="P11" s="13"/>
    </row>
    <row r="12" spans="1:17" x14ac:dyDescent="0.3">
      <c r="A12">
        <v>0.4</v>
      </c>
      <c r="B12" t="s">
        <v>109</v>
      </c>
      <c r="C12" s="7">
        <f>Table76[[#This Row],[U-value (COG)]]/5.67</f>
        <v>1.0052910052910053</v>
      </c>
      <c r="D12" s="7">
        <f>Table76[[#This Row],[GLASS-CONDUCT]]/0.87</f>
        <v>0.68965517241379304</v>
      </c>
      <c r="E12" t="str">
        <f>IF(Table76[[#This Row],[Glass Type]]="Double Glazed","DG","SG")</f>
        <v>SG</v>
      </c>
      <c r="F12" t="str">
        <f>CONCATENATE("ML_",Table76[[#This Row],[Glass]],"_",ROUND(Table76[[#This Row],[U-Value(IP)]],2),"_",ROUND(Table76[[#This Row],[SHADING-COEF]],2),"_",Table76[[#This Row],[VIS-TRANS]],"_",Table76[[#This Row],[Climate]])</f>
        <v>ML_SG_1.01_0.69_0.4_Others</v>
      </c>
      <c r="G12">
        <v>10</v>
      </c>
      <c r="M12" s="20"/>
      <c r="P12" s="13"/>
    </row>
    <row r="13" spans="1:17" x14ac:dyDescent="0.3">
      <c r="A13">
        <v>0.4</v>
      </c>
      <c r="B13" t="s">
        <v>109</v>
      </c>
      <c r="C13" s="7">
        <f>Table76[[#This Row],[U-value (COG)]]/5.67</f>
        <v>1.0052910052910053</v>
      </c>
      <c r="D13" s="7">
        <f>Table76[[#This Row],[GLASS-CONDUCT]]/0.87</f>
        <v>0.80459770114942519</v>
      </c>
      <c r="E13" t="str">
        <f>IF(Table76[[#This Row],[Glass Type]]="Double Glazed","DG","SG")</f>
        <v>SG</v>
      </c>
      <c r="F13" t="str">
        <f>CONCATENATE("ML_",Table76[[#This Row],[Glass]],"_",ROUND(Table76[[#This Row],[U-Value(IP)]],2),"_",ROUND(Table76[[#This Row],[SHADING-COEF]],2),"_",Table76[[#This Row],[VIS-TRANS]],"_",Table76[[#This Row],[Climate]])</f>
        <v>ML_SG_1.01_0.8_0.4_Others</v>
      </c>
      <c r="G13">
        <v>11</v>
      </c>
      <c r="M13" s="20"/>
      <c r="P13" s="13"/>
    </row>
    <row r="14" spans="1:17" x14ac:dyDescent="0.3">
      <c r="A14">
        <v>0.4</v>
      </c>
      <c r="B14" t="s">
        <v>109</v>
      </c>
      <c r="C14" s="7">
        <f>Table76[[#This Row],[U-value (COG)]]/5.67</f>
        <v>0.49382716049382713</v>
      </c>
      <c r="D14" s="7">
        <f>Table76[[#This Row],[GLASS-CONDUCT]]/0.87</f>
        <v>0.22988505747126439</v>
      </c>
      <c r="E14" t="str">
        <f>IF(Table76[[#This Row],[Glass Type]]="Double Glazed","DG","SG")</f>
        <v>DG</v>
      </c>
      <c r="F14" t="str">
        <f>CONCATENATE("ML_",Table76[[#This Row],[Glass]],"_",ROUND(Table76[[#This Row],[U-Value(IP)]],2),"_",ROUND(Table76[[#This Row],[SHADING-COEF]],2),"_",Table76[[#This Row],[VIS-TRANS]],"_",Table76[[#This Row],[Climate]])</f>
        <v>ML_DG_0.49_0.23_0.4_Others</v>
      </c>
      <c r="G14">
        <v>12</v>
      </c>
      <c r="M14" s="20"/>
      <c r="P14" s="13"/>
    </row>
    <row r="15" spans="1:17" x14ac:dyDescent="0.3">
      <c r="A15">
        <v>0.4</v>
      </c>
      <c r="B15" t="s">
        <v>109</v>
      </c>
      <c r="C15" s="7">
        <f>Table76[[#This Row],[U-value (COG)]]/5.67</f>
        <v>0.49382716049382713</v>
      </c>
      <c r="D15" s="7">
        <f>Table76[[#This Row],[GLASS-CONDUCT]]/0.87</f>
        <v>0.34482758620689652</v>
      </c>
      <c r="E15" t="str">
        <f>IF(Table76[[#This Row],[Glass Type]]="Double Glazed","DG","SG")</f>
        <v>DG</v>
      </c>
      <c r="F15" t="str">
        <f>CONCATENATE("ML_",Table76[[#This Row],[Glass]],"_",ROUND(Table76[[#This Row],[U-Value(IP)]],2),"_",ROUND(Table76[[#This Row],[SHADING-COEF]],2),"_",Table76[[#This Row],[VIS-TRANS]],"_",Table76[[#This Row],[Climate]])</f>
        <v>ML_DG_0.49_0.34_0.4_Others</v>
      </c>
      <c r="G15">
        <v>13</v>
      </c>
      <c r="M15" s="20"/>
      <c r="P15" s="13"/>
    </row>
    <row r="16" spans="1:17" x14ac:dyDescent="0.3">
      <c r="A16">
        <v>0.4</v>
      </c>
      <c r="B16" t="s">
        <v>109</v>
      </c>
      <c r="C16" s="7">
        <f>Table76[[#This Row],[U-value (COG)]]/5.67</f>
        <v>0.49382716049382713</v>
      </c>
      <c r="D16" s="7">
        <f>Table76[[#This Row],[GLASS-CONDUCT]]/0.87</f>
        <v>0.45977011494252878</v>
      </c>
      <c r="E16" t="str">
        <f>IF(Table76[[#This Row],[Glass Type]]="Double Glazed","DG","SG")</f>
        <v>DG</v>
      </c>
      <c r="F16" t="str">
        <f>CONCATENATE("ML_",Table76[[#This Row],[Glass]],"_",ROUND(Table76[[#This Row],[U-Value(IP)]],2),"_",ROUND(Table76[[#This Row],[SHADING-COEF]],2),"_",Table76[[#This Row],[VIS-TRANS]],"_",Table76[[#This Row],[Climate]])</f>
        <v>ML_DG_0.49_0.46_0.4_Others</v>
      </c>
      <c r="G16">
        <v>14</v>
      </c>
      <c r="M16" s="20"/>
      <c r="P16" s="13"/>
    </row>
    <row r="17" spans="1:16" x14ac:dyDescent="0.3">
      <c r="A17">
        <v>0.4</v>
      </c>
      <c r="B17" t="s">
        <v>109</v>
      </c>
      <c r="C17" s="7">
        <f>Table76[[#This Row],[U-value (COG)]]/5.67</f>
        <v>0.49382716049382713</v>
      </c>
      <c r="D17" s="7">
        <f>Table76[[#This Row],[GLASS-CONDUCT]]/0.87</f>
        <v>0.57471264367816088</v>
      </c>
      <c r="E17" t="str">
        <f>IF(Table76[[#This Row],[Glass Type]]="Double Glazed","DG","SG")</f>
        <v>DG</v>
      </c>
      <c r="F17" t="str">
        <f>CONCATENATE("ML_",Table76[[#This Row],[Glass]],"_",ROUND(Table76[[#This Row],[U-Value(IP)]],2),"_",ROUND(Table76[[#This Row],[SHADING-COEF]],2),"_",Table76[[#This Row],[VIS-TRANS]],"_",Table76[[#This Row],[Climate]])</f>
        <v>ML_DG_0.49_0.57_0.4_Others</v>
      </c>
      <c r="G17">
        <v>15</v>
      </c>
      <c r="M17" s="20"/>
      <c r="P17" s="13"/>
    </row>
    <row r="18" spans="1:16" x14ac:dyDescent="0.3">
      <c r="A18">
        <v>0.4</v>
      </c>
      <c r="B18" t="s">
        <v>109</v>
      </c>
      <c r="C18" s="7">
        <f>Table76[[#This Row],[U-value (COG)]]/5.67</f>
        <v>0.49382716049382713</v>
      </c>
      <c r="D18" s="7">
        <f>Table76[[#This Row],[GLASS-CONDUCT]]/0.87</f>
        <v>0.68965517241379304</v>
      </c>
      <c r="E18" t="str">
        <f>IF(Table76[[#This Row],[Glass Type]]="Double Glazed","DG","SG")</f>
        <v>DG</v>
      </c>
      <c r="F18" t="str">
        <f>CONCATENATE("ML_",Table76[[#This Row],[Glass]],"_",ROUND(Table76[[#This Row],[U-Value(IP)]],2),"_",ROUND(Table76[[#This Row],[SHADING-COEF]],2),"_",Table76[[#This Row],[VIS-TRANS]],"_",Table76[[#This Row],[Climate]])</f>
        <v>ML_DG_0.49_0.69_0.4_Others</v>
      </c>
      <c r="G18">
        <v>16</v>
      </c>
      <c r="M18" s="20"/>
      <c r="P18" s="13"/>
    </row>
    <row r="19" spans="1:16" x14ac:dyDescent="0.3">
      <c r="M19" s="20"/>
      <c r="P19" s="13"/>
    </row>
    <row r="20" spans="1:16" x14ac:dyDescent="0.3">
      <c r="M20" s="20"/>
    </row>
    <row r="21" spans="1:16" x14ac:dyDescent="0.3">
      <c r="M21" s="20"/>
    </row>
    <row r="22" spans="1:16" x14ac:dyDescent="0.3">
      <c r="M22" s="20"/>
    </row>
    <row r="23" spans="1:16" x14ac:dyDescent="0.3">
      <c r="M23" s="2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85F3-895B-4B08-9AED-BCC04A1170D2}">
  <dimension ref="A1:G10"/>
  <sheetViews>
    <sheetView workbookViewId="0">
      <selection activeCell="L12" sqref="L12"/>
    </sheetView>
  </sheetViews>
  <sheetFormatPr defaultRowHeight="14.4" x14ac:dyDescent="0.3"/>
  <cols>
    <col min="1" max="1" width="5" bestFit="1" customWidth="1"/>
    <col min="2" max="2" width="8.6640625" bestFit="1" customWidth="1"/>
    <col min="3" max="3" width="11.109375" bestFit="1" customWidth="1"/>
    <col min="4" max="4" width="10.44140625" bestFit="1" customWidth="1"/>
    <col min="5" max="5" width="7" bestFit="1" customWidth="1"/>
    <col min="6" max="6" width="11.5546875" bestFit="1" customWidth="1"/>
    <col min="7" max="7" width="7.33203125" bestFit="1" customWidth="1"/>
  </cols>
  <sheetData>
    <row r="1" spans="1:7" x14ac:dyDescent="0.3">
      <c r="A1" s="19" t="s">
        <v>231</v>
      </c>
      <c r="B1" t="s">
        <v>223</v>
      </c>
      <c r="C1" t="s">
        <v>226</v>
      </c>
      <c r="D1" t="s">
        <v>225</v>
      </c>
      <c r="E1" t="s">
        <v>227</v>
      </c>
      <c r="F1" t="s">
        <v>228</v>
      </c>
      <c r="G1" t="s">
        <v>222</v>
      </c>
    </row>
    <row r="2" spans="1:7" x14ac:dyDescent="0.3">
      <c r="B2" t="s">
        <v>174</v>
      </c>
      <c r="C2" s="13">
        <v>0.41699999999999998</v>
      </c>
      <c r="D2">
        <v>6.6000000000000003E-2</v>
      </c>
      <c r="E2">
        <v>110</v>
      </c>
      <c r="F2">
        <v>0.2</v>
      </c>
      <c r="G2">
        <v>0.158</v>
      </c>
    </row>
    <row r="3" spans="1:7" x14ac:dyDescent="0.3">
      <c r="B3" t="s">
        <v>224</v>
      </c>
      <c r="C3" s="13">
        <v>0.56599999999999995</v>
      </c>
      <c r="D3">
        <v>0.755</v>
      </c>
      <c r="E3">
        <v>120</v>
      </c>
      <c r="F3">
        <v>0.2</v>
      </c>
      <c r="G3">
        <v>1.333</v>
      </c>
    </row>
    <row r="4" spans="1:7" x14ac:dyDescent="0.3">
      <c r="B4" t="s">
        <v>243</v>
      </c>
      <c r="C4" s="13">
        <v>0.91300000000000003</v>
      </c>
      <c r="D4">
        <v>0.49199999999999999</v>
      </c>
      <c r="E4">
        <v>142.84</v>
      </c>
      <c r="F4">
        <v>0.21</v>
      </c>
      <c r="G4">
        <v>0.53900000000000003</v>
      </c>
    </row>
    <row r="5" spans="1:7" x14ac:dyDescent="0.3">
      <c r="A5">
        <v>5</v>
      </c>
      <c r="B5" t="s">
        <v>229</v>
      </c>
      <c r="C5" s="13">
        <v>1.6E-2</v>
      </c>
      <c r="D5" s="13">
        <f>C5*G5</f>
        <v>4.4991999999999997E-2</v>
      </c>
      <c r="E5">
        <v>2.1800000000000002</v>
      </c>
      <c r="F5">
        <v>0.28999999999999998</v>
      </c>
      <c r="G5">
        <f>A5-((2*G2)+G3+G4)</f>
        <v>2.8119999999999998</v>
      </c>
    </row>
    <row r="6" spans="1:7" x14ac:dyDescent="0.3">
      <c r="A6">
        <v>10</v>
      </c>
      <c r="B6" t="s">
        <v>232</v>
      </c>
      <c r="C6" s="13">
        <v>1.6E-2</v>
      </c>
      <c r="D6" s="13">
        <f t="shared" ref="D6:D10" si="0">C6*G6</f>
        <v>0.12499199999999999</v>
      </c>
      <c r="E6">
        <v>2.1800000000000002</v>
      </c>
      <c r="F6">
        <v>0.28999999999999998</v>
      </c>
      <c r="G6">
        <f>A6-((2*G2)+G3+G4)</f>
        <v>7.8119999999999994</v>
      </c>
    </row>
    <row r="7" spans="1:7" x14ac:dyDescent="0.3">
      <c r="A7">
        <v>15</v>
      </c>
      <c r="B7" t="s">
        <v>234</v>
      </c>
      <c r="C7" s="13">
        <v>1.6E-2</v>
      </c>
      <c r="D7" s="13">
        <f>C7*G7</f>
        <v>0.20499200000000001</v>
      </c>
      <c r="E7">
        <v>2.1800000000000002</v>
      </c>
      <c r="F7">
        <v>0.28999999999999998</v>
      </c>
      <c r="G7">
        <f>A7-((2*G2)+G3+G4)</f>
        <v>12.811999999999999</v>
      </c>
    </row>
    <row r="8" spans="1:7" x14ac:dyDescent="0.3">
      <c r="A8">
        <v>20</v>
      </c>
      <c r="B8" t="s">
        <v>236</v>
      </c>
      <c r="C8" s="13">
        <v>1.6E-2</v>
      </c>
      <c r="D8" s="13">
        <f t="shared" si="0"/>
        <v>0.28499200000000002</v>
      </c>
      <c r="E8">
        <v>2.1800000000000002</v>
      </c>
      <c r="F8">
        <v>0.28999999999999998</v>
      </c>
      <c r="G8">
        <f>A8-((2*G2)+G3+G4)</f>
        <v>17.812000000000001</v>
      </c>
    </row>
    <row r="9" spans="1:7" x14ac:dyDescent="0.3">
      <c r="A9">
        <v>25</v>
      </c>
      <c r="B9" t="s">
        <v>238</v>
      </c>
      <c r="C9" s="13">
        <v>1.6E-2</v>
      </c>
      <c r="D9" s="13">
        <f t="shared" si="0"/>
        <v>0.36499200000000004</v>
      </c>
      <c r="E9">
        <v>2.1800000000000002</v>
      </c>
      <c r="F9">
        <v>0.28999999999999998</v>
      </c>
      <c r="G9">
        <f>A9-((2*G2)+G3+G4)</f>
        <v>22.812000000000001</v>
      </c>
    </row>
    <row r="10" spans="1:7" x14ac:dyDescent="0.3">
      <c r="A10">
        <v>30</v>
      </c>
      <c r="B10" t="s">
        <v>240</v>
      </c>
      <c r="C10" s="13">
        <v>1.6E-2</v>
      </c>
      <c r="D10" s="13">
        <f t="shared" si="0"/>
        <v>0.44499200000000005</v>
      </c>
      <c r="E10">
        <v>2.1800000000000002</v>
      </c>
      <c r="F10">
        <v>0.28999999999999998</v>
      </c>
      <c r="G10">
        <f>A10-((2*G2)+G3+G4)</f>
        <v>27.812000000000001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Wall_New</vt:lpstr>
      <vt:lpstr>Roof_New</vt:lpstr>
      <vt:lpstr>Wall</vt:lpstr>
      <vt:lpstr>wallNew</vt:lpstr>
      <vt:lpstr>RoofNew</vt:lpstr>
      <vt:lpstr>Roof</vt:lpstr>
      <vt:lpstr>Glazing</vt:lpstr>
      <vt:lpstr>WWR</vt:lpstr>
      <vt:lpstr>Orient</vt:lpstr>
      <vt:lpstr>Light</vt:lpstr>
      <vt:lpstr>Equip</vt:lpstr>
      <vt:lpstr>Material_DB</vt:lpstr>
      <vt:lpstr>Material_DB_IP</vt:lpstr>
      <vt:lpstr>WallR</vt:lpstr>
      <vt:lpstr>RoofR</vt:lpstr>
      <vt:lpstr>GlazedR</vt:lpstr>
      <vt:lpstr>RoofMid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2015-06-05T18:17:20Z</dcterms:created>
  <dcterms:modified xsi:type="dcterms:W3CDTF">2026-01-30T11:52:40Z</dcterms:modified>
</cp:coreProperties>
</file>